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2af\AC\Temp\"/>
    </mc:Choice>
  </mc:AlternateContent>
  <xr:revisionPtr revIDLastSave="0" documentId="8_{C7F7EC2B-7473-3C4D-9A8A-DDD2E11CED4C}" xr6:coauthVersionLast="47" xr6:coauthVersionMax="47" xr10:uidLastSave="{00000000-0000-0000-0000-000000000000}"/>
  <bookViews>
    <workbookView xWindow="-60" yWindow="-60" windowWidth="15480" windowHeight="11640" xr2:uid="{ED8CD4F0-85BC-45CC-948E-6345B9BC253C}"/>
  </bookViews>
  <sheets>
    <sheet name="Sheet1" sheetId="1" r:id="rId1"/>
  </sheets>
  <calcPr calcId="191028"/>
  <pivotCaches>
    <pivotCache cacheId="12" r:id="rId2"/>
    <pivotCache cacheId="13" r:id="rId3"/>
    <pivotCache cacheId="14" r:id="rId4"/>
    <pivotCache cacheId="15" r:id="rId5"/>
    <pivotCache cacheId="16" r:id="rId6"/>
    <pivotCache cacheId="17" r:id="rId7"/>
    <pivotCache cacheId="18" r:id="rId8"/>
    <pivotCache cacheId="19" r:id="rId9"/>
    <pivotCache cacheId="20" r:id="rId10"/>
    <pivotCache cacheId="2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AE23" i="1"/>
  <c r="AD23" i="1"/>
  <c r="AB23" i="1"/>
  <c r="L7" i="1"/>
  <c r="AE22" i="1"/>
  <c r="AD22" i="1"/>
  <c r="AB22" i="1"/>
  <c r="L6" i="1"/>
  <c r="AE21" i="1"/>
  <c r="AD21" i="1"/>
  <c r="AB21" i="1"/>
  <c r="L5" i="1"/>
  <c r="AE20" i="1"/>
  <c r="AD20" i="1"/>
  <c r="AB20" i="1"/>
  <c r="L4" i="1"/>
  <c r="AE19" i="1"/>
  <c r="AD19" i="1"/>
  <c r="AB19" i="1"/>
  <c r="AE18" i="1"/>
  <c r="AD18" i="1"/>
  <c r="AB18" i="1"/>
  <c r="AE17" i="1"/>
  <c r="AD17" i="1"/>
  <c r="AB17" i="1"/>
  <c r="AE16" i="1"/>
  <c r="AD16" i="1"/>
  <c r="AB16" i="1"/>
  <c r="AE15" i="1"/>
  <c r="AD15" i="1"/>
  <c r="AB15" i="1"/>
  <c r="AE14" i="1"/>
  <c r="AD14" i="1"/>
  <c r="AB14" i="1"/>
  <c r="AE13" i="1"/>
  <c r="AD13" i="1"/>
  <c r="AB13" i="1"/>
  <c r="AE12" i="1"/>
  <c r="AD12" i="1"/>
  <c r="AB12" i="1"/>
  <c r="AE11" i="1"/>
  <c r="AD11" i="1"/>
  <c r="AB11" i="1"/>
  <c r="AE10" i="1"/>
  <c r="AD10" i="1"/>
  <c r="AB10" i="1"/>
  <c r="AE9" i="1"/>
  <c r="AD9" i="1"/>
  <c r="AB9" i="1"/>
  <c r="AE8" i="1"/>
  <c r="AD8" i="1"/>
  <c r="AB8" i="1"/>
  <c r="AE7" i="1"/>
  <c r="AD7" i="1"/>
  <c r="AB7" i="1"/>
  <c r="AE6" i="1"/>
  <c r="AD6" i="1"/>
  <c r="AB6" i="1"/>
  <c r="AE5" i="1"/>
  <c r="AD5" i="1"/>
  <c r="AB5" i="1"/>
  <c r="AE4" i="1"/>
  <c r="AD4" i="1"/>
  <c r="AB4" i="1"/>
  <c r="Y3" i="1"/>
  <c r="L13" i="1"/>
  <c r="M13" i="1"/>
  <c r="L21" i="1"/>
  <c r="M21" i="1"/>
  <c r="X3" i="1"/>
  <c r="M4" i="1"/>
  <c r="M8" i="1"/>
  <c r="L12" i="1"/>
  <c r="M12" i="1"/>
  <c r="L16" i="1"/>
  <c r="M16" i="1"/>
  <c r="M5" i="1"/>
  <c r="M6" i="1"/>
  <c r="M7" i="1"/>
  <c r="L9" i="1"/>
  <c r="M9" i="1"/>
  <c r="L10" i="1"/>
  <c r="M10" i="1"/>
  <c r="L11" i="1"/>
  <c r="M11" i="1"/>
  <c r="L14" i="1"/>
  <c r="M14" i="1"/>
  <c r="L15" i="1"/>
  <c r="M15" i="1"/>
  <c r="L17" i="1"/>
  <c r="M17" i="1"/>
  <c r="L18" i="1"/>
  <c r="M18" i="1"/>
  <c r="L19" i="1"/>
  <c r="M19" i="1"/>
  <c r="L20" i="1"/>
  <c r="M20" i="1"/>
  <c r="L22" i="1"/>
  <c r="M22" i="1"/>
  <c r="L23" i="1"/>
  <c r="M23" i="1"/>
  <c r="W3" i="1"/>
  <c r="V3" i="1"/>
  <c r="U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T3" i="1"/>
  <c r="S3" i="1"/>
  <c r="R3" i="1"/>
  <c r="AI23" i="1"/>
  <c r="AH23" i="1"/>
  <c r="AG23" i="1"/>
  <c r="AF23" i="1"/>
  <c r="AC23" i="1"/>
  <c r="Z23" i="1"/>
  <c r="AI22" i="1"/>
  <c r="AH22" i="1"/>
  <c r="AG22" i="1"/>
  <c r="AF22" i="1"/>
  <c r="AC22" i="1"/>
  <c r="Z22" i="1"/>
  <c r="AI21" i="1"/>
  <c r="AH21" i="1"/>
  <c r="AG21" i="1"/>
  <c r="AF21" i="1"/>
  <c r="AC21" i="1"/>
  <c r="Z21" i="1"/>
  <c r="AI20" i="1"/>
  <c r="AH20" i="1"/>
  <c r="AG20" i="1"/>
  <c r="AF20" i="1"/>
  <c r="AC20" i="1"/>
  <c r="Z20" i="1"/>
  <c r="AI19" i="1"/>
  <c r="AH19" i="1"/>
  <c r="AG19" i="1"/>
  <c r="AF19" i="1"/>
  <c r="AC19" i="1"/>
  <c r="Z19" i="1"/>
  <c r="AI18" i="1"/>
  <c r="AH18" i="1"/>
  <c r="AG18" i="1"/>
  <c r="AF18" i="1"/>
  <c r="AC18" i="1"/>
  <c r="Z18" i="1"/>
  <c r="AI17" i="1"/>
  <c r="AH17" i="1"/>
  <c r="AG17" i="1"/>
  <c r="AF17" i="1"/>
  <c r="AC17" i="1"/>
  <c r="Z17" i="1"/>
  <c r="AI16" i="1"/>
  <c r="AH16" i="1"/>
  <c r="AG16" i="1"/>
  <c r="AF16" i="1"/>
  <c r="AC16" i="1"/>
  <c r="Z16" i="1"/>
  <c r="AI15" i="1"/>
  <c r="AH15" i="1"/>
  <c r="AG15" i="1"/>
  <c r="AF15" i="1"/>
  <c r="AC15" i="1"/>
  <c r="Z15" i="1"/>
  <c r="AI14" i="1"/>
  <c r="AH14" i="1"/>
  <c r="AG14" i="1"/>
  <c r="AF14" i="1"/>
  <c r="AC14" i="1"/>
  <c r="Z14" i="1"/>
  <c r="AI13" i="1"/>
  <c r="AH13" i="1"/>
  <c r="AG13" i="1"/>
  <c r="AF13" i="1"/>
  <c r="AC13" i="1"/>
  <c r="Z13" i="1"/>
  <c r="AI12" i="1"/>
  <c r="AH12" i="1"/>
  <c r="AG12" i="1"/>
  <c r="AF12" i="1"/>
  <c r="AC12" i="1"/>
  <c r="Z12" i="1"/>
  <c r="AI11" i="1"/>
  <c r="AH11" i="1"/>
  <c r="AG11" i="1"/>
  <c r="AF11" i="1"/>
  <c r="AC11" i="1"/>
  <c r="Z11" i="1"/>
  <c r="AI10" i="1"/>
  <c r="AH10" i="1"/>
  <c r="AG10" i="1"/>
  <c r="AF10" i="1"/>
  <c r="AC10" i="1"/>
  <c r="Z10" i="1"/>
  <c r="AI9" i="1"/>
  <c r="AH9" i="1"/>
  <c r="AG9" i="1"/>
  <c r="AF9" i="1"/>
  <c r="AC9" i="1"/>
  <c r="Z9" i="1"/>
  <c r="AI8" i="1"/>
  <c r="AH8" i="1"/>
  <c r="AG8" i="1"/>
  <c r="AF8" i="1"/>
  <c r="AC8" i="1"/>
  <c r="Z8" i="1"/>
  <c r="AI7" i="1"/>
  <c r="AH7" i="1"/>
  <c r="AG7" i="1"/>
  <c r="AF7" i="1"/>
  <c r="AC7" i="1"/>
  <c r="Z7" i="1"/>
  <c r="AI6" i="1"/>
  <c r="AH6" i="1"/>
  <c r="AG6" i="1"/>
  <c r="AF6" i="1"/>
  <c r="AC6" i="1"/>
  <c r="Z6" i="1"/>
  <c r="AI5" i="1"/>
  <c r="AH5" i="1"/>
  <c r="AG5" i="1"/>
  <c r="AF5" i="1"/>
  <c r="AC5" i="1"/>
  <c r="Z5" i="1"/>
  <c r="AI4" i="1"/>
  <c r="AH4" i="1"/>
  <c r="AG4" i="1"/>
  <c r="AF4" i="1"/>
  <c r="AC4" i="1"/>
  <c r="AA4" i="1" a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4" i="1"/>
  <c r="Z4" i="1"/>
  <c r="Q3" i="1"/>
  <c r="P3" i="1"/>
  <c r="O3" i="1"/>
</calcChain>
</file>

<file path=xl/sharedStrings.xml><?xml version="1.0" encoding="utf-8"?>
<sst xmlns="http://schemas.openxmlformats.org/spreadsheetml/2006/main" count="242" uniqueCount="81">
  <si>
    <t>Sales Data</t>
  </si>
  <si>
    <t>Section C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</si>
  <si>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</si>
  <si>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</si>
  <si>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</si>
  <si>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</si>
  <si>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</si>
  <si>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</si>
  <si>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</si>
  <si>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</si>
  <si>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</si>
  <si>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</si>
  <si>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</si>
  <si>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</si>
  <si>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</si>
  <si>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</si>
  <si>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Region</t>
  </si>
  <si>
    <t>Sum of Net Sales</t>
  </si>
  <si>
    <t>Product</t>
  </si>
  <si>
    <t>Sum of Units</t>
  </si>
  <si>
    <t>Salesperson</t>
  </si>
  <si>
    <t>Customer Type</t>
  </si>
  <si>
    <t>Month</t>
  </si>
  <si>
    <t>Category</t>
  </si>
  <si>
    <t>Average of Unit price</t>
  </si>
  <si>
    <t>Order ID</t>
  </si>
  <si>
    <t>Date</t>
  </si>
  <si>
    <t>Units</t>
  </si>
  <si>
    <t>Unit price</t>
  </si>
  <si>
    <t>Discount</t>
  </si>
  <si>
    <t>Gross Sales</t>
  </si>
  <si>
    <t>Net Sales</t>
  </si>
  <si>
    <t>Performance</t>
  </si>
  <si>
    <t>East</t>
  </si>
  <si>
    <t>Keyboard</t>
  </si>
  <si>
    <t>North</t>
  </si>
  <si>
    <t>South</t>
  </si>
  <si>
    <t>West</t>
  </si>
  <si>
    <t>Grand Total</t>
  </si>
  <si>
    <t>Aarav</t>
  </si>
  <si>
    <t>Corporate</t>
  </si>
  <si>
    <t>Feb-2026</t>
  </si>
  <si>
    <t>Accessories</t>
  </si>
  <si>
    <t>O1001</t>
  </si>
  <si>
    <t>Laptop</t>
  </si>
  <si>
    <t>Electronics</t>
  </si>
  <si>
    <t>Retail</t>
  </si>
  <si>
    <t>Diya</t>
  </si>
  <si>
    <t>Jan-2026</t>
  </si>
  <si>
    <t>O1002</t>
  </si>
  <si>
    <t>Monitor</t>
  </si>
  <si>
    <t>Kabir</t>
  </si>
  <si>
    <t>Mar-2026</t>
  </si>
  <si>
    <t>Office</t>
  </si>
  <si>
    <t>O1003</t>
  </si>
  <si>
    <t>Mouse</t>
  </si>
  <si>
    <t>Meera</t>
  </si>
  <si>
    <t>O1004</t>
  </si>
  <si>
    <t>Printer</t>
  </si>
  <si>
    <t>Riya</t>
  </si>
  <si>
    <t>O1005</t>
  </si>
  <si>
    <t>Zoya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</si>
  <si>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</si>
  <si>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</si>
  <si>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</si>
  <si>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</si>
  <si>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</si>
  <si>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</si>
  <si>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</si>
  <si>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</si>
  <si>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</si>
  <si>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</si>
  <si>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</si>
  <si>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</si>
  <si>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</si>
  <si>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</si>
  <si>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</si>
  <si>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 xml:space="preserve"> </t>
  </si>
  <si>
    <t>q7 with chart</t>
  </si>
  <si>
    <t>q8 highest net sale on tap</t>
  </si>
  <si>
    <t>SECTION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</si>
</sst>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i/>
      <sz val="24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8EA9DB"/>
        <bgColor rgb="FF8EA9DB"/>
      </patternFill>
    </fill>
    <fill>
      <patternFill patternType="solid">
        <fgColor theme="6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FFFFFF"/>
      </left>
      <right/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000000"/>
      </left>
      <right style="medium">
        <color rgb="FF505050"/>
      </right>
      <top/>
      <bottom/>
      <diagonal/>
    </border>
    <border>
      <left style="medium">
        <color rgb="FF505050"/>
      </left>
      <right/>
      <top style="thin">
        <color rgb="FF000000"/>
      </top>
      <bottom/>
      <diagonal/>
    </border>
    <border>
      <left style="medium">
        <color rgb="FF505050"/>
      </left>
      <right/>
      <top style="thin">
        <color rgb="FF000000"/>
      </top>
      <bottom style="medium">
        <color rgb="FF505050"/>
      </bottom>
      <diagonal/>
    </border>
    <border>
      <left style="thin">
        <color rgb="FF000000"/>
      </left>
      <right style="medium">
        <color rgb="FF505050"/>
      </right>
      <top style="thin">
        <color rgb="FF000000"/>
      </top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medium">
        <color rgb="FF505050"/>
      </bottom>
      <diagonal/>
    </border>
    <border>
      <left/>
      <right/>
      <top style="thin">
        <color rgb="FF000000"/>
      </top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 style="thin">
        <color rgb="FF000000"/>
      </top>
      <bottom/>
      <diagonal/>
    </border>
    <border>
      <left style="medium">
        <color rgb="FF505050"/>
      </left>
      <right style="medium">
        <color rgb="FF505050"/>
      </right>
      <top style="thin">
        <color rgb="FF000000"/>
      </top>
      <bottom style="medium">
        <color rgb="FF50505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7" xfId="0" applyBorder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1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32" xfId="0" applyFont="1" applyFill="1" applyBorder="1" applyAlignment="1">
      <alignment horizontal="center"/>
    </xf>
    <xf numFmtId="0" fontId="0" fillId="0" borderId="0" xfId="0" applyBorder="1"/>
    <xf numFmtId="0" fontId="0" fillId="0" borderId="33" xfId="0" applyBorder="1"/>
    <xf numFmtId="0" fontId="0" fillId="0" borderId="34" xfId="0" applyBorder="1"/>
    <xf numFmtId="0" fontId="2" fillId="7" borderId="1" xfId="0" applyFont="1" applyFill="1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</cellXfs>
  <cellStyles count="1">
    <cellStyle name="Normal" xfId="0" builtinId="0" customBuiltin="1"/>
  </cellStyles>
  <dxfs count="21"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 /><Relationship Id="rId13" Type="http://schemas.openxmlformats.org/officeDocument/2006/relationships/styles" Target="styles.xml" /><Relationship Id="rId3" Type="http://schemas.openxmlformats.org/officeDocument/2006/relationships/pivotCacheDefinition" Target="pivotCache/pivotCacheDefinition2.xml" /><Relationship Id="rId7" Type="http://schemas.openxmlformats.org/officeDocument/2006/relationships/pivotCacheDefinition" Target="pivotCache/pivotCacheDefinition6.xml" /><Relationship Id="rId12" Type="http://schemas.openxmlformats.org/officeDocument/2006/relationships/theme" Target="theme/theme1.xml" /><Relationship Id="rId2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5.xml" /><Relationship Id="rId11" Type="http://schemas.openxmlformats.org/officeDocument/2006/relationships/pivotCacheDefinition" Target="pivotCache/pivotCacheDefinition10.xml" /><Relationship Id="rId5" Type="http://schemas.openxmlformats.org/officeDocument/2006/relationships/pivotCacheDefinition" Target="pivotCache/pivotCacheDefinition4.xml" /><Relationship Id="rId15" Type="http://schemas.openxmlformats.org/officeDocument/2006/relationships/calcChain" Target="calcChain.xml" /><Relationship Id="rId10" Type="http://schemas.openxmlformats.org/officeDocument/2006/relationships/pivotCacheDefinition" Target="pivotCache/pivotCacheDefinition9.xml" /><Relationship Id="rId4" Type="http://schemas.openxmlformats.org/officeDocument/2006/relationships/pivotCacheDefinition" Target="pivotCache/pivotCacheDefinition3.xml" /><Relationship Id="rId9" Type="http://schemas.openxmlformats.org/officeDocument/2006/relationships/pivotCacheDefinition" Target="pivotCache/pivotCacheDefinition8.xml" /><Relationship Id="rId14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US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>
              <a:noFill/>
            </a:ln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3070860</c:v>
              </c:pt>
              <c:pt idx="1">
                <c:v>385000</c:v>
              </c:pt>
              <c:pt idx="2">
                <c:v>1343291</c:v>
              </c:pt>
              <c:pt idx="3">
                <c:v>982207.5</c:v>
              </c:pt>
            </c:numLit>
          </c:val>
          <c:extLst>
            <c:ext xmlns:c16="http://schemas.microsoft.com/office/drawing/2014/chart" uri="{C3380CC4-5D6E-409C-BE32-E72D297353CC}">
              <c16:uniqueId val="{00000000-5D1B-4063-9CAD-8DF6FE38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346271"/>
        <c:axId val="1301349151"/>
      </c:barChart>
      <c:valAx>
        <c:axId val="1301349151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301346271"/>
        <c:crosses val="autoZero"/>
        <c:crossBetween val="between"/>
      </c:valAx>
      <c:catAx>
        <c:axId val="13013462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301349151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495303</xdr:colOff>
      <xdr:row>21</xdr:row>
      <xdr:rowOff>57150</xdr:rowOff>
    </xdr:from>
    <xdr:ext cx="2901039" cy="1980656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E1FAE0AF-03CC-CE13-0599-5F267CB31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3BFDE191-2865-4D7E-BB5F-3C3FCFA5D204}">
  <cacheSource type="worksheet">
    <worksheetSource name="Table1[#All]"/>
  </cacheSource>
  <cacheFields count="12">
    <cacheField name="Region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  <cacheField name="Net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874AC52D-A8F5-4100-B7D4-2F38AB4A2333}">
  <cacheSource type="worksheet">
    <worksheetSource name="Table1[#All]"/>
  </cacheSource>
  <cacheFields count="12">
    <cacheField name="Categor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  <cacheField name="Net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618FA51C-560A-418B-B262-63376C3B5301}">
  <cacheSource type="worksheet">
    <worksheetSource name="Table1[#All]"/>
  </cacheSource>
  <cacheFields count="12">
    <cacheField name="Region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7EDB247C-A017-4AF5-ACD8-9F8B60FF5200}">
  <cacheSource type="worksheet">
    <worksheetSource name="Table1[#All]"/>
  </cacheSource>
  <cacheFields count="12">
    <cacheField name="Region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0DBCDEA6-A57F-4D66-9A6C-35994E2832C8}">
  <cacheSource type="worksheet">
    <worksheetSource name="Table1[[#All],[Month]:[Net Sales]]"/>
  </cacheSource>
  <cacheFields count="11">
    <cacheField name="Month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961525B8-308E-409A-B82C-9A6BE44A1F6F}">
  <cacheSource type="worksheet">
    <worksheetSource name="Table1[#All]"/>
  </cacheSource>
  <cacheFields count="12">
    <cacheField name="Customer Type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42990D6B-C86F-4B8C-AC2C-8EEFBE62BF93}">
  <cacheSource type="worksheet">
    <worksheetSource name="Table1[#All]"/>
  </cacheSource>
  <cacheFields count="12">
    <cacheField name="Salesperson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60A96468-4456-4EB3-8DBC-59E386DECC6C}">
  <cacheSource type="worksheet">
    <worksheetSource name="Table1[#All]"/>
  </cacheSource>
  <cacheFields count="12">
    <cacheField name="Region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4971845A-059E-495D-918C-34E9EDC319A2}">
  <cacheSource type="worksheet">
    <worksheetSource name="Table1[#All]"/>
  </cacheSource>
  <cacheFields count="12">
    <cacheField name="Product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  <cacheField name="Net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4E8A1C31-518E-4CDD-B827-0167CE9E571C}">
  <cacheSource type="worksheet">
    <worksheetSource name="Table1[#All]"/>
  </cacheSource>
  <cacheFields count="12">
    <cacheField name="Region" numFmtId="0">
      <sharedItems containsSemiMixedTypes="0" containsNonDate="0" containsString="0"/>
    </cacheField>
    <cacheField name="Net Sales" numFmtId="0">
      <sharedItems containsSemiMixedTypes="0" containsNonDate="0" containsString="0"/>
    </cacheField>
    <cacheField name="Order ID" numFmtId="0">
      <sharedItems containsSemiMixedTypes="0" containsNonDate="0" containsString="0"/>
    </cacheField>
    <cacheField name="Date" numFmtId="0">
      <sharedItems containsSemiMixedTypes="0" containsNonDate="0" containsString="0"/>
    </cacheField>
    <cacheField name="Salesperson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s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Discount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Gross Sales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23B96-2E0A-43C9-BDBE-C8620F9B836A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T2:AU9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1">
      <pivotArea type="all" dataOnly="0" outline="0" fieldPosition="0"/>
    </format>
    <format dxfId="0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C60FD-723A-41D2-BAA7-AD794A80C44A}" name="PivotTable1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BF2:BF7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formats count="2">
    <format dxfId="3">
      <pivotArea type="all" dataOnly="0" outline="0" fieldPosition="0"/>
    </format>
    <format dxfId="2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8B61E-3A29-42FE-8EFE-2FF787C9FCBC}" name="PivotTable1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Z2:BA7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5">
      <pivotArea type="all" dataOnly="0" outline="0" fieldPosition="0"/>
    </format>
    <format dxfId="4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CD499-41F8-4317-B5AF-9C1495EDAC39}" name="PivotTable1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BB2:BC7" firstHeaderRow="1" firstDataRow="1" firstDataCol="1"/>
  <pivotFields count="12">
    <pivotField axis="axisRow" compact="0" outline="0" subtotalTop="0" showAll="0" includeNewItemsInFilter="1" sortType="descending">
      <items count="1"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7">
      <pivotArea type="all" dataOnly="0" outline="0" fieldPosition="0"/>
    </format>
    <format dxfId="6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E11E4-2A63-4279-A2CF-C95BD7D17032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N2:AS7" firstHeaderRow="1" firstDataRow="2" firstDataCol="1"/>
  <pivotFields count="12">
    <pivotField axis="axisCol" compact="0" outline="0" subtotalTop="0" showAll="0" includeNewItemsInFilter="1">
      <items count="1">
        <item t="default"/>
      </items>
    </pivotField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1"/>
  </rowFields>
  <colFields count="1">
    <field x="0"/>
  </colFields>
  <dataFields count="1">
    <dataField name="Sum of Net Sales" fld="2" baseField="2" baseItem="1048828"/>
  </dataFields>
  <formats count="3">
    <format dxfId="10">
      <pivotArea type="all" dataOnly="0" outline="0" fieldPosition="0"/>
    </format>
    <format dxfId="9">
      <pivotArea type="origin" dataOnly="0" labelOnly="1" outline="0" fieldPosition="0"/>
    </format>
    <format dxfId="8">
      <pivotArea field="1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022CE-03D5-4BC7-BE64-867BD35D8D9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J2:AK7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12">
      <pivotArea type="all" dataOnly="0" outline="0" fieldPosition="0"/>
    </format>
    <format dxfId="11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C6692-83AB-4277-B596-800CA6F26B01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X2:AY6" firstHeaderRow="1" firstDataRow="1" firstDataCol="1"/>
  <pivotFields count="11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14">
      <pivotArea type="all" dataOnly="0" outline="0" fieldPosition="0"/>
    </format>
    <format dxfId="13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FE465-F280-41E1-882A-1DE317CABAD4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L2:AM8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Units" fld="1" baseField="1" baseItem="1048828"/>
  </dataFields>
  <formats count="2">
    <format dxfId="16">
      <pivotArea type="all" dataOnly="0" outline="0" fieldPosition="0"/>
    </format>
    <format dxfId="15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6CBAA-6237-4C41-BFAA-9550EF36F7AE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BD2:BE6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Average of Unit price" fld="1" subtotal="average" baseField="1" baseItem="1048828"/>
  </dataFields>
  <formats count="2">
    <format dxfId="18">
      <pivotArea type="all" dataOnly="0" outline="0" fieldPosition="0"/>
    </format>
    <format dxfId="17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1AAE5-B196-4104-82AD-37B1869B8F4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V2:AW5" firstHeaderRow="1" firstDataRow="1" firstDataCol="1"/>
  <pivotFields count="12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Net Sales" fld="1" baseField="1" baseItem="1048828"/>
  </dataFields>
  <formats count="2">
    <format dxfId="20">
      <pivotArea type="all" dataOnly="0" outline="0" fieldPosition="0"/>
    </format>
    <format dxfId="19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8AF7F-67E3-47E2-8AF7-0AAA31FDB3DC}" name="Table1" displayName="Table1" ref="A3:M23" totalsRowShown="0">
  <autoFilter ref="A3:M23" xr:uid="{52EB05E0-97B5-42C7-BBB6-A7AD3D82AE5D}"/>
  <tableColumns count="13">
    <tableColumn id="1" xr3:uid="{30208EAC-F9CD-46C8-9959-6C15C9220F3F}" name="Order ID"/>
    <tableColumn id="2" xr3:uid="{C8317E97-EAFD-4D56-8550-C320DBCA4E00}" name="Date"/>
    <tableColumn id="3" xr3:uid="{D35CF599-7451-4910-9DA0-B1253EF6E4F2}" name="Month"/>
    <tableColumn id="4" xr3:uid="{6F022E0A-B4CB-42CB-B153-BCAEC09E2DDD}" name="Region"/>
    <tableColumn id="5" xr3:uid="{B3FB5641-627D-4BE3-806A-4AB9CE7CB5FD}" name="Salesperson"/>
    <tableColumn id="6" xr3:uid="{1ABE612B-01F7-401A-B81F-5472A72486E4}" name="Product"/>
    <tableColumn id="7" xr3:uid="{2B2A28DC-9C09-43FF-8A98-159E105524D1}" name="Category"/>
    <tableColumn id="8" xr3:uid="{9699E07A-3124-4085-A9CC-A67EE2BDBA06}" name="Units"/>
    <tableColumn id="9" xr3:uid="{73E296B5-F0A4-4835-90AE-EC42B91259AB}" name="Unit price"/>
    <tableColumn id="10" xr3:uid="{6A14A5FE-1C2F-448D-8A0D-06549C68C9A0}" name="Discount"/>
    <tableColumn id="11" xr3:uid="{059F18B1-323B-4CA0-9E73-F1DE737C26AC}" name="Customer Type"/>
    <tableColumn id="12" xr3:uid="{5BC89450-361E-479A-9F50-4508B1F1B4BF}" name="Gross Sales"/>
    <tableColumn id="13" xr3:uid="{468DBF69-E887-46D5-9523-44ECF6259D03}" name="Net 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 /><Relationship Id="rId3" Type="http://schemas.openxmlformats.org/officeDocument/2006/relationships/pivotTable" Target="../pivotTables/pivotTable3.xml" /><Relationship Id="rId7" Type="http://schemas.openxmlformats.org/officeDocument/2006/relationships/pivotTable" Target="../pivotTables/pivotTable7.xml" /><Relationship Id="rId12" Type="http://schemas.openxmlformats.org/officeDocument/2006/relationships/table" Target="../tables/table1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6" Type="http://schemas.openxmlformats.org/officeDocument/2006/relationships/pivotTable" Target="../pivotTables/pivotTable6.xml" /><Relationship Id="rId11" Type="http://schemas.openxmlformats.org/officeDocument/2006/relationships/drawing" Target="../drawings/drawing1.xml" /><Relationship Id="rId5" Type="http://schemas.openxmlformats.org/officeDocument/2006/relationships/pivotTable" Target="../pivotTables/pivotTable5.xml" /><Relationship Id="rId10" Type="http://schemas.openxmlformats.org/officeDocument/2006/relationships/pivotTable" Target="../pivotTables/pivotTable10.xml" /><Relationship Id="rId4" Type="http://schemas.openxmlformats.org/officeDocument/2006/relationships/pivotTable" Target="../pivotTables/pivotTable4.xml" /><Relationship Id="rId9" Type="http://schemas.openxmlformats.org/officeDocument/2006/relationships/pivotTable" Target="../pivotTables/pivotTable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6C56-2C3E-44D3-A72B-1D5B4376D3B1}">
  <dimension ref="A1:BF35"/>
  <sheetViews>
    <sheetView tabSelected="1" workbookViewId="0">
      <selection activeCell="T16" sqref="T16"/>
    </sheetView>
  </sheetViews>
  <sheetFormatPr defaultRowHeight="15" x14ac:dyDescent="0.2"/>
  <cols>
    <col min="1" max="1" width="10.625" customWidth="1"/>
    <col min="2" max="3" width="11.43359375" customWidth="1"/>
    <col min="4" max="4" width="9.28125" customWidth="1"/>
    <col min="5" max="5" width="13.85546875" customWidth="1"/>
    <col min="6" max="6" width="9.953125" customWidth="1"/>
    <col min="7" max="7" width="11.56640625" customWidth="1"/>
    <col min="8" max="8" width="9.14453125" customWidth="1"/>
    <col min="9" max="9" width="11.8359375" customWidth="1"/>
    <col min="10" max="10" width="10.89453125" customWidth="1"/>
    <col min="11" max="11" width="16.41015625" customWidth="1"/>
    <col min="12" max="12" width="13.31640625" bestFit="1" customWidth="1"/>
    <col min="13" max="13" width="12.64453125" customWidth="1"/>
    <col min="14" max="15" width="9.14453125" customWidth="1"/>
    <col min="16" max="16" width="9.953125" bestFit="1" customWidth="1"/>
    <col min="17" max="25" width="9.14453125" customWidth="1"/>
    <col min="26" max="26" width="11.8359375" customWidth="1"/>
    <col min="27" max="29" width="9.14453125" customWidth="1"/>
    <col min="30" max="30" width="11.02734375" customWidth="1"/>
    <col min="31" max="31" width="9.14453125" customWidth="1"/>
    <col min="32" max="32" width="15.87109375" customWidth="1"/>
    <col min="33" max="33" width="10.76171875" customWidth="1"/>
    <col min="34" max="35" width="11.1640625" customWidth="1"/>
    <col min="36" max="36" width="11.43359375" customWidth="1"/>
    <col min="37" max="37" width="15.87109375" bestFit="1" customWidth="1"/>
    <col min="38" max="38" width="11.43359375" bestFit="1" customWidth="1"/>
    <col min="39" max="39" width="12.23828125" bestFit="1" customWidth="1"/>
    <col min="40" max="40" width="15.87109375" bestFit="1" customWidth="1"/>
    <col min="41" max="41" width="10.22265625" bestFit="1" customWidth="1"/>
    <col min="42" max="42" width="7.6640625" bestFit="1" customWidth="1"/>
    <col min="43" max="43" width="8.7421875" bestFit="1" customWidth="1"/>
    <col min="44" max="44" width="9.28125" bestFit="1" customWidth="1"/>
    <col min="45" max="45" width="11.43359375" bestFit="1" customWidth="1"/>
    <col min="46" max="46" width="14.66015625" bestFit="1" customWidth="1"/>
    <col min="47" max="47" width="15.87109375" bestFit="1" customWidth="1"/>
    <col min="48" max="48" width="17.62109375" bestFit="1" customWidth="1"/>
    <col min="49" max="49" width="15.87109375" bestFit="1" customWidth="1"/>
    <col min="50" max="50" width="11.43359375" bestFit="1" customWidth="1"/>
    <col min="51" max="51" width="15.87109375" bestFit="1" customWidth="1"/>
    <col min="52" max="52" width="11.43359375" bestFit="1" customWidth="1"/>
    <col min="53" max="53" width="15.87109375" bestFit="1" customWidth="1"/>
    <col min="54" max="54" width="11.43359375" bestFit="1" customWidth="1"/>
    <col min="55" max="55" width="15.87109375" bestFit="1" customWidth="1"/>
    <col min="56" max="56" width="12.10546875" bestFit="1" customWidth="1"/>
    <col min="57" max="57" width="19.90625" bestFit="1" customWidth="1"/>
    <col min="58" max="58" width="11.43359375" bestFit="1" customWidth="1"/>
    <col min="59" max="59" width="9.14453125" customWidth="1"/>
  </cols>
  <sheetData>
    <row r="1" spans="1:58" ht="15.75" thickBo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 t="s">
        <v>80</v>
      </c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50" t="s">
        <v>1</v>
      </c>
      <c r="AE1" s="50"/>
      <c r="AF1" s="50"/>
      <c r="AG1" s="50"/>
      <c r="AH1" s="50"/>
      <c r="AI1" s="51"/>
      <c r="AJ1" s="53" t="s">
        <v>2</v>
      </c>
      <c r="AK1" s="54"/>
      <c r="AL1" s="53" t="s">
        <v>3</v>
      </c>
      <c r="AM1" s="54"/>
      <c r="AN1" s="53" t="s">
        <v>4</v>
      </c>
      <c r="AO1" s="54"/>
      <c r="AP1" s="54"/>
      <c r="AQ1" s="54"/>
      <c r="AR1" s="54"/>
      <c r="AS1" s="54"/>
      <c r="AT1" s="53" t="s">
        <v>5</v>
      </c>
      <c r="AU1" s="54"/>
      <c r="AV1" s="53" t="s">
        <v>6</v>
      </c>
      <c r="AW1" s="54"/>
      <c r="AX1" s="53" t="s">
        <v>7</v>
      </c>
      <c r="AY1" s="54"/>
      <c r="AZ1" s="53" t="s">
        <v>78</v>
      </c>
      <c r="BA1" s="54"/>
      <c r="BB1" s="53" t="s">
        <v>79</v>
      </c>
      <c r="BC1" s="54"/>
      <c r="BD1" s="53" t="s">
        <v>10</v>
      </c>
      <c r="BE1" s="54"/>
      <c r="BF1" s="43" t="s">
        <v>11</v>
      </c>
    </row>
    <row r="2" spans="1:58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2" t="s">
        <v>2</v>
      </c>
      <c r="M2" s="2" t="s">
        <v>3</v>
      </c>
      <c r="N2" s="2"/>
      <c r="O2" s="52" t="s">
        <v>4</v>
      </c>
      <c r="P2" s="52"/>
      <c r="Q2" s="2" t="s">
        <v>5</v>
      </c>
      <c r="R2" s="52" t="s">
        <v>6</v>
      </c>
      <c r="S2" s="52"/>
      <c r="T2" s="52" t="s">
        <v>7</v>
      </c>
      <c r="U2" s="52"/>
      <c r="V2" s="2" t="s">
        <v>8</v>
      </c>
      <c r="W2" s="2" t="s">
        <v>9</v>
      </c>
      <c r="X2" s="2" t="s">
        <v>10</v>
      </c>
      <c r="Y2" s="2" t="s">
        <v>11</v>
      </c>
      <c r="Z2" s="3" t="s">
        <v>12</v>
      </c>
      <c r="AA2" s="3" t="s">
        <v>13</v>
      </c>
      <c r="AB2" s="3" t="s">
        <v>14</v>
      </c>
      <c r="AC2" s="4" t="s">
        <v>15</v>
      </c>
      <c r="AD2" s="5" t="s">
        <v>2</v>
      </c>
      <c r="AE2" s="6" t="s">
        <v>3</v>
      </c>
      <c r="AF2" s="6" t="s">
        <v>4</v>
      </c>
      <c r="AG2" s="6" t="s">
        <v>5</v>
      </c>
      <c r="AH2" s="6" t="s">
        <v>6</v>
      </c>
      <c r="AI2" s="39" t="s">
        <v>7</v>
      </c>
      <c r="AJ2" s="34" t="s">
        <v>16</v>
      </c>
      <c r="AK2" s="24" t="s">
        <v>17</v>
      </c>
      <c r="AL2" s="34" t="s">
        <v>18</v>
      </c>
      <c r="AM2" s="24" t="s">
        <v>19</v>
      </c>
      <c r="AN2" s="34" t="s">
        <v>17</v>
      </c>
      <c r="AO2" s="24" t="s">
        <v>16</v>
      </c>
      <c r="AP2" s="33"/>
      <c r="AQ2" s="33"/>
      <c r="AR2" s="33"/>
      <c r="AS2" s="33"/>
      <c r="AT2" s="34" t="s">
        <v>20</v>
      </c>
      <c r="AU2" s="24" t="s">
        <v>17</v>
      </c>
      <c r="AV2" s="34" t="s">
        <v>21</v>
      </c>
      <c r="AW2" s="24" t="s">
        <v>17</v>
      </c>
      <c r="AX2" s="34" t="s">
        <v>22</v>
      </c>
      <c r="AY2" s="24" t="s">
        <v>17</v>
      </c>
      <c r="AZ2" s="34" t="s">
        <v>16</v>
      </c>
      <c r="BA2" s="24" t="s">
        <v>17</v>
      </c>
      <c r="BB2" s="34" t="s">
        <v>16</v>
      </c>
      <c r="BC2" s="24" t="s">
        <v>17</v>
      </c>
      <c r="BD2" s="34" t="s">
        <v>23</v>
      </c>
      <c r="BE2" s="24" t="s">
        <v>24</v>
      </c>
      <c r="BF2" s="44" t="s">
        <v>16</v>
      </c>
    </row>
    <row r="3" spans="1:58" x14ac:dyDescent="0.2">
      <c r="A3" s="8" t="s">
        <v>25</v>
      </c>
      <c r="B3" s="9" t="s">
        <v>26</v>
      </c>
      <c r="C3" s="9" t="s">
        <v>22</v>
      </c>
      <c r="D3" s="9" t="s">
        <v>16</v>
      </c>
      <c r="E3" s="9" t="s">
        <v>20</v>
      </c>
      <c r="F3" s="9" t="s">
        <v>18</v>
      </c>
      <c r="G3" s="9" t="s">
        <v>23</v>
      </c>
      <c r="H3" s="9" t="s">
        <v>27</v>
      </c>
      <c r="I3" s="9" t="s">
        <v>28</v>
      </c>
      <c r="J3" s="9" t="s">
        <v>29</v>
      </c>
      <c r="K3" s="10" t="s">
        <v>21</v>
      </c>
      <c r="L3" s="11" t="s">
        <v>30</v>
      </c>
      <c r="M3" s="11" t="s">
        <v>31</v>
      </c>
      <c r="N3" s="12"/>
      <c r="O3" s="13">
        <f>SUM(H4:H23)</f>
        <v>196</v>
      </c>
      <c r="P3" s="13">
        <f>SUM(M4:M23)</f>
        <v>5781358.5</v>
      </c>
      <c r="Q3" s="13">
        <f>AVERAGE(I4:I23)</f>
        <v>65340</v>
      </c>
      <c r="R3" s="13">
        <f>MAX(Sheet1!$I$4:$I$23)</f>
        <v>570000</v>
      </c>
      <c r="S3" s="13">
        <f>MIN(Sheet1!$I$4:$I$23)</f>
        <v>850</v>
      </c>
      <c r="T3" s="13">
        <f>COUNT(Sheet1!$A$4:$M$23)</f>
        <v>120</v>
      </c>
      <c r="U3" s="13">
        <f>COUNTA(Sheet1!$A$4:$A$23)</f>
        <v>20</v>
      </c>
      <c r="V3" s="13">
        <f>COUNTIF(Sheet1!$G$4:$G$23,"Electronics")</f>
        <v>8</v>
      </c>
      <c r="W3" s="13">
        <f>SUMIF(Sheet1!$D$4:$D$23, "North",Sheet1!$M$4:$M$23)</f>
        <v>385000</v>
      </c>
      <c r="X3" s="13">
        <f>SUMIFS(Sheet1!$M$4:$M$23, Sheet1!$D$4:$D$23,"West", Sheet1!$G$4:$G$23, "Accessories")</f>
        <v>49167.5</v>
      </c>
      <c r="Y3" s="14">
        <f>COUNTIFS(Sheet1!$G$4:$G$23, "Accessories", Sheet1!$K$4:$K$23, "Retail")</f>
        <v>8</v>
      </c>
      <c r="Z3" s="15" t="s">
        <v>32</v>
      </c>
      <c r="AA3" s="13"/>
      <c r="AB3" s="13"/>
      <c r="AC3" s="14"/>
      <c r="AD3" s="16"/>
      <c r="AE3" s="13"/>
      <c r="AF3" s="13"/>
      <c r="AG3" s="13"/>
      <c r="AH3" s="13"/>
      <c r="AI3" s="14"/>
      <c r="AJ3" s="36" t="s">
        <v>33</v>
      </c>
      <c r="AK3" s="7">
        <v>3070860</v>
      </c>
      <c r="AL3" s="36" t="s">
        <v>34</v>
      </c>
      <c r="AM3" s="7">
        <v>51</v>
      </c>
      <c r="AN3" s="36" t="s">
        <v>23</v>
      </c>
      <c r="AO3" s="7" t="s">
        <v>33</v>
      </c>
      <c r="AP3" s="18" t="s">
        <v>35</v>
      </c>
      <c r="AQ3" s="18" t="s">
        <v>36</v>
      </c>
      <c r="AR3" s="18" t="s">
        <v>37</v>
      </c>
      <c r="AS3" s="7" t="s">
        <v>38</v>
      </c>
      <c r="AT3" s="36" t="s">
        <v>39</v>
      </c>
      <c r="AU3" s="7">
        <v>282150</v>
      </c>
      <c r="AV3" s="36" t="s">
        <v>40</v>
      </c>
      <c r="AW3" s="7">
        <v>3882540</v>
      </c>
      <c r="AX3" s="36" t="s">
        <v>41</v>
      </c>
      <c r="AY3" s="7">
        <v>3978313.5</v>
      </c>
      <c r="AZ3" s="36" t="s">
        <v>33</v>
      </c>
      <c r="BA3" s="7">
        <v>3070860</v>
      </c>
      <c r="BB3" s="36" t="s">
        <v>33</v>
      </c>
      <c r="BC3" s="7">
        <v>3070860</v>
      </c>
      <c r="BD3" s="36" t="s">
        <v>42</v>
      </c>
      <c r="BE3" s="7">
        <v>1550</v>
      </c>
      <c r="BF3" s="45" t="s">
        <v>33</v>
      </c>
    </row>
    <row r="4" spans="1:58" x14ac:dyDescent="0.2">
      <c r="A4" s="19" t="s">
        <v>43</v>
      </c>
      <c r="B4" s="20">
        <v>46027</v>
      </c>
      <c r="C4" s="20" t="str">
        <f t="shared" ref="C4:C23" si="0">TEXT(B4, "mmm-yyyy")</f>
        <v>Jan-2026</v>
      </c>
      <c r="D4" s="21" t="s">
        <v>35</v>
      </c>
      <c r="E4" s="21" t="s">
        <v>39</v>
      </c>
      <c r="F4" s="21" t="s">
        <v>44</v>
      </c>
      <c r="G4" s="21" t="s">
        <v>45</v>
      </c>
      <c r="H4" s="21">
        <v>3</v>
      </c>
      <c r="I4" s="21">
        <v>55000</v>
      </c>
      <c r="J4" s="21">
        <v>0.05</v>
      </c>
      <c r="K4" s="22" t="s">
        <v>46</v>
      </c>
      <c r="L4" s="23">
        <f t="shared" ref="L4:L23" si="1">H4*I4</f>
        <v>165000</v>
      </c>
      <c r="M4" s="23">
        <f t="shared" ref="M4:M23" si="2">L4-H4*I4*J4</f>
        <v>156750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3" t="str">
        <f t="shared" ref="Z4:Z23" si="3">IF(M4&gt;=100000,"High", "Normal")</f>
        <v>High</v>
      </c>
      <c r="AA4" s="13">
        <f t="array" ref="AA4:AA23">ROUND((M4:M23), 0)</f>
        <v>156750</v>
      </c>
      <c r="AB4" s="13" t="str">
        <f>LEFT(Sheet1!$A4, 3)</f>
        <v>O10</v>
      </c>
      <c r="AC4" s="14">
        <f t="shared" ref="AC4:AC23" si="4">MONTH(B4)</f>
        <v>1</v>
      </c>
      <c r="AD4" s="16" t="str">
        <f>_xlfn.XLOOKUP(F4, Sheet1!$F$4:$F$23,Sheet1!$G$4:$G$23,"", 1)</f>
        <v>Electronics</v>
      </c>
      <c r="AE4" s="13">
        <f>_xlfn.XLOOKUP(F4, Sheet1!$F$4:$F$23, Sheet1!$L$4:$L$23, "", 1)</f>
        <v>165000</v>
      </c>
      <c r="AF4" s="13" t="str">
        <f t="shared" ref="AF4:AF23" si="5">IF(I4&gt;L4,"standard", "within standard")</f>
        <v>within standard</v>
      </c>
      <c r="AG4" s="13" t="str">
        <f t="shared" ref="AG4:AG23" si="6">IF(K4="Retail", "Retail", " Corporate ")</f>
        <v>Retail</v>
      </c>
      <c r="AH4" s="13" t="str">
        <f t="shared" ref="AH4:AH23" si="7">IF(AND(J4&gt;0.05,  K4="Corporate"),"having both", "not having")</f>
        <v>not having</v>
      </c>
      <c r="AI4" s="14" t="str">
        <f t="shared" ref="AI4:AI23" si="8">IF(OR(D4="North",  D4="South"),"having ", "not having")</f>
        <v xml:space="preserve">having </v>
      </c>
      <c r="AJ4" s="34" t="s">
        <v>35</v>
      </c>
      <c r="AK4" s="24">
        <v>385000</v>
      </c>
      <c r="AL4" s="34" t="s">
        <v>44</v>
      </c>
      <c r="AM4" s="24">
        <v>12</v>
      </c>
      <c r="AN4" s="36" t="s">
        <v>42</v>
      </c>
      <c r="AO4" s="7">
        <v>51740</v>
      </c>
      <c r="AP4" s="18">
        <v>39850</v>
      </c>
      <c r="AQ4" s="18">
        <v>38016</v>
      </c>
      <c r="AR4" s="18">
        <v>49167.5</v>
      </c>
      <c r="AS4" s="7">
        <v>178773.5</v>
      </c>
      <c r="AT4" s="34" t="s">
        <v>47</v>
      </c>
      <c r="AU4" s="24">
        <v>90000</v>
      </c>
      <c r="AV4" s="34" t="s">
        <v>46</v>
      </c>
      <c r="AW4" s="24">
        <v>1898818.5</v>
      </c>
      <c r="AX4" s="34" t="s">
        <v>48</v>
      </c>
      <c r="AY4" s="24">
        <v>675525</v>
      </c>
      <c r="AZ4" s="34" t="s">
        <v>35</v>
      </c>
      <c r="BA4" s="24">
        <v>385000</v>
      </c>
      <c r="BB4" s="34" t="s">
        <v>36</v>
      </c>
      <c r="BC4" s="24">
        <v>1343291</v>
      </c>
      <c r="BD4" s="34" t="s">
        <v>45</v>
      </c>
      <c r="BE4" s="24">
        <v>121362.5</v>
      </c>
      <c r="BF4" s="44" t="s">
        <v>35</v>
      </c>
    </row>
    <row r="5" spans="1:58" ht="15.75" thickBot="1" x14ac:dyDescent="0.25">
      <c r="A5" s="19" t="s">
        <v>49</v>
      </c>
      <c r="B5" s="20">
        <v>46029</v>
      </c>
      <c r="C5" s="20" t="str">
        <f t="shared" si="0"/>
        <v>Jan-2026</v>
      </c>
      <c r="D5" s="21" t="s">
        <v>37</v>
      </c>
      <c r="E5" s="21" t="s">
        <v>47</v>
      </c>
      <c r="F5" s="21" t="s">
        <v>50</v>
      </c>
      <c r="G5" s="21" t="s">
        <v>45</v>
      </c>
      <c r="H5" s="21">
        <v>5</v>
      </c>
      <c r="I5" s="21">
        <v>18000</v>
      </c>
      <c r="J5" s="21">
        <v>0</v>
      </c>
      <c r="K5" s="22" t="s">
        <v>40</v>
      </c>
      <c r="L5" s="21">
        <f t="shared" si="1"/>
        <v>90000</v>
      </c>
      <c r="M5" s="21">
        <f t="shared" si="2"/>
        <v>90000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3" t="str">
        <f t="shared" si="3"/>
        <v>Normal</v>
      </c>
      <c r="AA5" s="13">
        <v>90000</v>
      </c>
      <c r="AB5" s="13" t="str">
        <f>LEFT(Sheet1!$A5, 3)</f>
        <v>O10</v>
      </c>
      <c r="AC5" s="14">
        <f t="shared" si="4"/>
        <v>1</v>
      </c>
      <c r="AD5" s="16" t="str">
        <f>_xlfn.XLOOKUP(F5, Sheet1!$F$4:$F$23,Sheet1!$G$4:$G$23,"", 1)</f>
        <v>Electronics</v>
      </c>
      <c r="AE5" s="13">
        <f>_xlfn.XLOOKUP(F5, Sheet1!$F$4:$F$23, Sheet1!$L$4:$L$23, "", 1)</f>
        <v>90000</v>
      </c>
      <c r="AF5" s="13" t="str">
        <f t="shared" si="5"/>
        <v>within standard</v>
      </c>
      <c r="AG5" s="13" t="str">
        <f t="shared" si="6"/>
        <v xml:space="preserve"> Corporate </v>
      </c>
      <c r="AH5" s="13" t="str">
        <f t="shared" si="7"/>
        <v>not having</v>
      </c>
      <c r="AI5" s="14" t="str">
        <f t="shared" si="8"/>
        <v>not having</v>
      </c>
      <c r="AJ5" s="34" t="s">
        <v>36</v>
      </c>
      <c r="AK5" s="24">
        <v>1343291</v>
      </c>
      <c r="AL5" s="34" t="s">
        <v>50</v>
      </c>
      <c r="AM5" s="24">
        <v>26</v>
      </c>
      <c r="AN5" s="34" t="s">
        <v>45</v>
      </c>
      <c r="AO5" s="24">
        <v>2964020</v>
      </c>
      <c r="AP5" s="40">
        <v>264150</v>
      </c>
      <c r="AQ5" s="40">
        <v>334375</v>
      </c>
      <c r="AR5" s="40">
        <v>193040</v>
      </c>
      <c r="AS5" s="24">
        <v>3755585</v>
      </c>
      <c r="AT5" s="34" t="s">
        <v>51</v>
      </c>
      <c r="AU5" s="24">
        <v>1343291</v>
      </c>
      <c r="AV5" s="37" t="s">
        <v>38</v>
      </c>
      <c r="AW5" s="41">
        <v>5781358.5</v>
      </c>
      <c r="AX5" s="34" t="s">
        <v>52</v>
      </c>
      <c r="AY5" s="24">
        <v>1127520</v>
      </c>
      <c r="AZ5" s="34" t="s">
        <v>36</v>
      </c>
      <c r="BA5" s="24">
        <v>1343291</v>
      </c>
      <c r="BB5" s="34" t="s">
        <v>37</v>
      </c>
      <c r="BC5" s="24">
        <v>982207.5</v>
      </c>
      <c r="BD5" s="34" t="s">
        <v>53</v>
      </c>
      <c r="BE5" s="24">
        <v>80875</v>
      </c>
      <c r="BF5" s="44" t="s">
        <v>36</v>
      </c>
    </row>
    <row r="6" spans="1:58" ht="15.75" thickBot="1" x14ac:dyDescent="0.25">
      <c r="A6" s="19" t="s">
        <v>54</v>
      </c>
      <c r="B6" s="20">
        <v>46031</v>
      </c>
      <c r="C6" s="20" t="str">
        <f t="shared" si="0"/>
        <v>Jan-2026</v>
      </c>
      <c r="D6" s="21" t="s">
        <v>36</v>
      </c>
      <c r="E6" s="21" t="s">
        <v>51</v>
      </c>
      <c r="F6" s="21" t="s">
        <v>34</v>
      </c>
      <c r="G6" s="21" t="s">
        <v>42</v>
      </c>
      <c r="H6" s="21">
        <v>12</v>
      </c>
      <c r="I6" s="21">
        <v>2200</v>
      </c>
      <c r="J6" s="21">
        <v>0.1</v>
      </c>
      <c r="K6" s="22" t="s">
        <v>46</v>
      </c>
      <c r="L6" s="21">
        <f t="shared" si="1"/>
        <v>26400</v>
      </c>
      <c r="M6" s="21">
        <f t="shared" si="2"/>
        <v>23760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3" t="str">
        <f t="shared" si="3"/>
        <v>Normal</v>
      </c>
      <c r="AA6" s="13">
        <v>23760</v>
      </c>
      <c r="AB6" s="13" t="str">
        <f>LEFT(Sheet1!$A6, 3)</f>
        <v>O10</v>
      </c>
      <c r="AC6" s="14">
        <f t="shared" si="4"/>
        <v>1</v>
      </c>
      <c r="AD6" s="16" t="str">
        <f>_xlfn.XLOOKUP(F6, Sheet1!$F$4:$F$23,Sheet1!$G$4:$G$23,"", 1)</f>
        <v>Accessories</v>
      </c>
      <c r="AE6" s="13">
        <f>_xlfn.XLOOKUP(F6, Sheet1!$F$4:$F$23, Sheet1!$L$4:$L$23, "", 1)</f>
        <v>26400</v>
      </c>
      <c r="AF6" s="13" t="str">
        <f t="shared" si="5"/>
        <v>within standard</v>
      </c>
      <c r="AG6" s="13" t="str">
        <f t="shared" si="6"/>
        <v>Retail</v>
      </c>
      <c r="AH6" s="13" t="str">
        <f t="shared" si="7"/>
        <v>not having</v>
      </c>
      <c r="AI6" s="14" t="str">
        <f t="shared" si="8"/>
        <v xml:space="preserve">having </v>
      </c>
      <c r="AJ6" s="34" t="s">
        <v>37</v>
      </c>
      <c r="AK6" s="24">
        <v>982207.5</v>
      </c>
      <c r="AL6" s="34" t="s">
        <v>55</v>
      </c>
      <c r="AM6" s="24">
        <v>85</v>
      </c>
      <c r="AN6" s="34" t="s">
        <v>53</v>
      </c>
      <c r="AO6" s="24">
        <v>55100</v>
      </c>
      <c r="AP6" s="40">
        <v>81000</v>
      </c>
      <c r="AQ6" s="40">
        <v>970900</v>
      </c>
      <c r="AR6" s="40">
        <v>740000</v>
      </c>
      <c r="AS6" s="24">
        <v>1847000</v>
      </c>
      <c r="AT6" s="34" t="s">
        <v>56</v>
      </c>
      <c r="AU6" s="35">
        <v>3070860</v>
      </c>
      <c r="AX6" s="37" t="s">
        <v>38</v>
      </c>
      <c r="AY6" s="41">
        <v>5781358.5</v>
      </c>
      <c r="AZ6" s="34" t="s">
        <v>37</v>
      </c>
      <c r="BA6" s="24">
        <v>982207.5</v>
      </c>
      <c r="BB6" s="34" t="s">
        <v>35</v>
      </c>
      <c r="BC6" s="24">
        <v>385000</v>
      </c>
      <c r="BD6" s="37" t="s">
        <v>38</v>
      </c>
      <c r="BE6" s="41">
        <v>65340</v>
      </c>
      <c r="BF6" s="44" t="s">
        <v>37</v>
      </c>
    </row>
    <row r="7" spans="1:58" ht="15.75" thickBot="1" x14ac:dyDescent="0.25">
      <c r="A7" s="19" t="s">
        <v>57</v>
      </c>
      <c r="B7" s="20">
        <v>46034</v>
      </c>
      <c r="C7" s="20" t="str">
        <f t="shared" si="0"/>
        <v>Jan-2026</v>
      </c>
      <c r="D7" s="21" t="s">
        <v>33</v>
      </c>
      <c r="E7" s="21" t="s">
        <v>56</v>
      </c>
      <c r="F7" s="21" t="s">
        <v>58</v>
      </c>
      <c r="G7" s="21" t="s">
        <v>53</v>
      </c>
      <c r="H7" s="21">
        <v>4</v>
      </c>
      <c r="I7" s="21">
        <v>14500</v>
      </c>
      <c r="J7" s="21">
        <v>0.05</v>
      </c>
      <c r="K7" s="22" t="s">
        <v>40</v>
      </c>
      <c r="L7" s="21">
        <f t="shared" si="1"/>
        <v>58000</v>
      </c>
      <c r="M7" s="21">
        <f t="shared" si="2"/>
        <v>55100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3" t="str">
        <f t="shared" si="3"/>
        <v>Normal</v>
      </c>
      <c r="AA7" s="13">
        <v>55100</v>
      </c>
      <c r="AB7" s="13" t="str">
        <f>LEFT(Sheet1!$A7, 3)</f>
        <v>O10</v>
      </c>
      <c r="AC7" s="14">
        <f t="shared" si="4"/>
        <v>1</v>
      </c>
      <c r="AD7" s="16" t="str">
        <f>_xlfn.XLOOKUP(F7, Sheet1!$F$4:$F$23,Sheet1!$G$4:$G$23,"", 1)</f>
        <v>Office</v>
      </c>
      <c r="AE7" s="13">
        <f>_xlfn.XLOOKUP(F7, Sheet1!$F$4:$F$23, Sheet1!$L$4:$L$23, "", 1)</f>
        <v>58000</v>
      </c>
      <c r="AF7" s="13" t="str">
        <f t="shared" si="5"/>
        <v>within standard</v>
      </c>
      <c r="AG7" s="13" t="str">
        <f t="shared" si="6"/>
        <v xml:space="preserve"> Corporate </v>
      </c>
      <c r="AH7" s="13" t="str">
        <f t="shared" si="7"/>
        <v>not having</v>
      </c>
      <c r="AI7" s="14" t="str">
        <f t="shared" si="8"/>
        <v>not having</v>
      </c>
      <c r="AJ7" s="37" t="s">
        <v>38</v>
      </c>
      <c r="AK7" s="41">
        <v>5781358.5</v>
      </c>
      <c r="AL7" s="34" t="s">
        <v>58</v>
      </c>
      <c r="AM7" s="24">
        <v>22</v>
      </c>
      <c r="AN7" s="37" t="s">
        <v>38</v>
      </c>
      <c r="AO7" s="41">
        <v>3070860</v>
      </c>
      <c r="AP7" s="42">
        <v>385000</v>
      </c>
      <c r="AQ7" s="42">
        <v>1343291</v>
      </c>
      <c r="AR7" s="42">
        <v>982207.5</v>
      </c>
      <c r="AS7" s="41">
        <v>5781358.5</v>
      </c>
      <c r="AT7" s="34" t="s">
        <v>59</v>
      </c>
      <c r="AU7" s="35">
        <v>892207.5</v>
      </c>
      <c r="AZ7" s="37" t="s">
        <v>38</v>
      </c>
      <c r="BA7" s="41">
        <v>5781358.5</v>
      </c>
      <c r="BB7" s="37" t="s">
        <v>38</v>
      </c>
      <c r="BC7" s="38">
        <v>5781358.5</v>
      </c>
      <c r="BF7" s="46" t="s">
        <v>38</v>
      </c>
    </row>
    <row r="8" spans="1:58" ht="15.75" thickBot="1" x14ac:dyDescent="0.25">
      <c r="A8" s="19" t="s">
        <v>60</v>
      </c>
      <c r="B8" s="20">
        <v>46037</v>
      </c>
      <c r="C8" s="20" t="str">
        <f t="shared" si="0"/>
        <v>Jan-2026</v>
      </c>
      <c r="D8" s="21" t="s">
        <v>35</v>
      </c>
      <c r="E8" s="21" t="s">
        <v>39</v>
      </c>
      <c r="F8" s="21" t="s">
        <v>55</v>
      </c>
      <c r="G8" s="21" t="s">
        <v>42</v>
      </c>
      <c r="H8" s="21">
        <v>20</v>
      </c>
      <c r="I8" s="21">
        <v>900</v>
      </c>
      <c r="J8" s="21">
        <v>0</v>
      </c>
      <c r="K8" s="22" t="s">
        <v>46</v>
      </c>
      <c r="L8" s="21">
        <f t="shared" si="1"/>
        <v>18000</v>
      </c>
      <c r="M8" s="21">
        <f t="shared" si="2"/>
        <v>18000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3" t="str">
        <f t="shared" si="3"/>
        <v>Normal</v>
      </c>
      <c r="AA8" s="13">
        <v>18000</v>
      </c>
      <c r="AB8" s="13" t="str">
        <f>LEFT(Sheet1!$A8, 3)</f>
        <v>O10</v>
      </c>
      <c r="AC8" s="14">
        <f t="shared" si="4"/>
        <v>1</v>
      </c>
      <c r="AD8" s="16" t="str">
        <f>_xlfn.XLOOKUP(F8, Sheet1!$F$4:$F$23,Sheet1!$G$4:$G$23,"", 1)</f>
        <v>Accessories</v>
      </c>
      <c r="AE8" s="13">
        <f>_xlfn.XLOOKUP(F8, Sheet1!$F$4:$F$23, Sheet1!$L$4:$L$23, "", 1)</f>
        <v>18000</v>
      </c>
      <c r="AF8" s="13" t="str">
        <f t="shared" si="5"/>
        <v>within standard</v>
      </c>
      <c r="AG8" s="13" t="str">
        <f t="shared" si="6"/>
        <v>Retail</v>
      </c>
      <c r="AH8" s="13" t="str">
        <f t="shared" si="7"/>
        <v>not having</v>
      </c>
      <c r="AI8" s="17" t="str">
        <f t="shared" si="8"/>
        <v xml:space="preserve">having </v>
      </c>
      <c r="AL8" s="37" t="s">
        <v>38</v>
      </c>
      <c r="AM8" s="38">
        <v>196</v>
      </c>
      <c r="AT8" s="34" t="s">
        <v>61</v>
      </c>
      <c r="AU8" s="35">
        <v>102850</v>
      </c>
    </row>
    <row r="9" spans="1:58" ht="15.75" thickBot="1" x14ac:dyDescent="0.25">
      <c r="A9" s="19" t="s">
        <v>62</v>
      </c>
      <c r="B9" s="20">
        <v>46040</v>
      </c>
      <c r="C9" s="20" t="str">
        <f t="shared" si="0"/>
        <v>Jan-2026</v>
      </c>
      <c r="D9" s="21" t="s">
        <v>37</v>
      </c>
      <c r="E9" s="21" t="s">
        <v>59</v>
      </c>
      <c r="F9" s="21" t="s">
        <v>44</v>
      </c>
      <c r="G9" s="21" t="s">
        <v>45</v>
      </c>
      <c r="H9" s="21">
        <v>2</v>
      </c>
      <c r="I9" s="21">
        <v>56000</v>
      </c>
      <c r="J9" s="21">
        <v>0.08</v>
      </c>
      <c r="K9" s="22" t="s">
        <v>40</v>
      </c>
      <c r="L9" s="21">
        <f t="shared" si="1"/>
        <v>112000</v>
      </c>
      <c r="M9" s="21">
        <f t="shared" si="2"/>
        <v>103040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3" t="str">
        <f t="shared" si="3"/>
        <v>High</v>
      </c>
      <c r="AA9" s="13">
        <v>103040</v>
      </c>
      <c r="AB9" s="13" t="str">
        <f>LEFT(Sheet1!$A9, 3)</f>
        <v>O10</v>
      </c>
      <c r="AC9" s="14">
        <f t="shared" si="4"/>
        <v>1</v>
      </c>
      <c r="AD9" s="16" t="str">
        <f>_xlfn.XLOOKUP(F9, Sheet1!$F$4:$F$23,Sheet1!$G$4:$G$23,"", 1)</f>
        <v>Electronics</v>
      </c>
      <c r="AE9" s="13">
        <f>_xlfn.XLOOKUP(F9, Sheet1!$F$4:$F$23, Sheet1!$L$4:$L$23, "", 1)</f>
        <v>165000</v>
      </c>
      <c r="AF9" s="13" t="str">
        <f t="shared" si="5"/>
        <v>within standard</v>
      </c>
      <c r="AG9" s="13" t="str">
        <f t="shared" si="6"/>
        <v xml:space="preserve"> Corporate </v>
      </c>
      <c r="AH9" s="13" t="str">
        <f t="shared" si="7"/>
        <v>having both</v>
      </c>
      <c r="AI9" s="17" t="str">
        <f t="shared" si="8"/>
        <v>not having</v>
      </c>
      <c r="AT9" s="37" t="s">
        <v>38</v>
      </c>
      <c r="AU9" s="38">
        <v>5781358.5</v>
      </c>
    </row>
    <row r="10" spans="1:58" x14ac:dyDescent="0.2">
      <c r="A10" s="19" t="s">
        <v>63</v>
      </c>
      <c r="B10" s="20">
        <v>46043</v>
      </c>
      <c r="C10" s="20" t="str">
        <f t="shared" si="0"/>
        <v>Jan-2026</v>
      </c>
      <c r="D10" s="21" t="s">
        <v>36</v>
      </c>
      <c r="E10" s="21" t="s">
        <v>51</v>
      </c>
      <c r="F10" s="21" t="s">
        <v>50</v>
      </c>
      <c r="G10" s="21" t="s">
        <v>45</v>
      </c>
      <c r="H10" s="21">
        <v>7</v>
      </c>
      <c r="I10" s="21">
        <v>17500</v>
      </c>
      <c r="J10" s="21">
        <v>0.05</v>
      </c>
      <c r="K10" s="22" t="s">
        <v>46</v>
      </c>
      <c r="L10" s="21">
        <f t="shared" si="1"/>
        <v>122500</v>
      </c>
      <c r="M10" s="21">
        <f t="shared" si="2"/>
        <v>116375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3" t="str">
        <f t="shared" si="3"/>
        <v>High</v>
      </c>
      <c r="AA10" s="13">
        <v>116375</v>
      </c>
      <c r="AB10" s="13" t="str">
        <f>LEFT(Sheet1!$A10, 3)</f>
        <v>O10</v>
      </c>
      <c r="AC10" s="14">
        <f t="shared" si="4"/>
        <v>1</v>
      </c>
      <c r="AD10" s="16" t="str">
        <f>_xlfn.XLOOKUP(F10, Sheet1!$F$4:$F$23,Sheet1!$G$4:$G$23,"", 1)</f>
        <v>Electronics</v>
      </c>
      <c r="AE10" s="13">
        <f>_xlfn.XLOOKUP(F10, Sheet1!$F$4:$F$23, Sheet1!$L$4:$L$23, "", 1)</f>
        <v>90000</v>
      </c>
      <c r="AF10" s="13" t="str">
        <f t="shared" si="5"/>
        <v>within standard</v>
      </c>
      <c r="AG10" s="13" t="str">
        <f t="shared" si="6"/>
        <v>Retail</v>
      </c>
      <c r="AH10" s="13" t="str">
        <f t="shared" si="7"/>
        <v>not having</v>
      </c>
      <c r="AI10" s="17" t="str">
        <f t="shared" si="8"/>
        <v xml:space="preserve">having </v>
      </c>
    </row>
    <row r="11" spans="1:58" x14ac:dyDescent="0.2">
      <c r="A11" s="19" t="s">
        <v>64</v>
      </c>
      <c r="B11" s="20">
        <v>46046</v>
      </c>
      <c r="C11" s="20" t="str">
        <f t="shared" si="0"/>
        <v>Jan-2026</v>
      </c>
      <c r="D11" s="21" t="s">
        <v>33</v>
      </c>
      <c r="E11" s="21" t="s">
        <v>56</v>
      </c>
      <c r="F11" s="21" t="s">
        <v>34</v>
      </c>
      <c r="G11" s="21" t="s">
        <v>42</v>
      </c>
      <c r="H11" s="21">
        <v>15</v>
      </c>
      <c r="I11" s="21">
        <v>2100</v>
      </c>
      <c r="J11" s="21">
        <v>0</v>
      </c>
      <c r="K11" s="22" t="s">
        <v>46</v>
      </c>
      <c r="L11" s="21">
        <f t="shared" si="1"/>
        <v>31500</v>
      </c>
      <c r="M11" s="21">
        <f t="shared" si="2"/>
        <v>31500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3" t="str">
        <f t="shared" si="3"/>
        <v>Normal</v>
      </c>
      <c r="AA11" s="13">
        <v>31500</v>
      </c>
      <c r="AB11" s="13" t="str">
        <f>LEFT(Sheet1!$A11, 3)</f>
        <v>O10</v>
      </c>
      <c r="AC11" s="14">
        <f t="shared" si="4"/>
        <v>1</v>
      </c>
      <c r="AD11" s="16" t="str">
        <f>_xlfn.XLOOKUP(F11, Sheet1!$F$4:$F$23,Sheet1!$G$4:$G$23,"", 1)</f>
        <v>Accessories</v>
      </c>
      <c r="AE11" s="13">
        <f>_xlfn.XLOOKUP(F11, Sheet1!$F$4:$F$23, Sheet1!$L$4:$L$23, "", 1)</f>
        <v>26400</v>
      </c>
      <c r="AF11" s="13" t="str">
        <f t="shared" si="5"/>
        <v>within standard</v>
      </c>
      <c r="AG11" s="13" t="str">
        <f t="shared" si="6"/>
        <v>Retail</v>
      </c>
      <c r="AH11" s="13" t="str">
        <f t="shared" si="7"/>
        <v>not having</v>
      </c>
      <c r="AI11" s="17" t="str">
        <f t="shared" si="8"/>
        <v>not having</v>
      </c>
    </row>
    <row r="12" spans="1:58" x14ac:dyDescent="0.2">
      <c r="A12" s="19" t="s">
        <v>65</v>
      </c>
      <c r="B12" s="20">
        <v>46050</v>
      </c>
      <c r="C12" s="20" t="str">
        <f t="shared" si="0"/>
        <v>Jan-2026</v>
      </c>
      <c r="D12" s="21" t="s">
        <v>35</v>
      </c>
      <c r="E12" s="21" t="s">
        <v>61</v>
      </c>
      <c r="F12" s="21" t="s">
        <v>58</v>
      </c>
      <c r="G12" s="21" t="s">
        <v>53</v>
      </c>
      <c r="H12" s="21">
        <v>6</v>
      </c>
      <c r="I12" s="21">
        <v>15000</v>
      </c>
      <c r="J12" s="21">
        <v>0.1</v>
      </c>
      <c r="K12" s="22" t="s">
        <v>40</v>
      </c>
      <c r="L12" s="21">
        <f t="shared" si="1"/>
        <v>90000</v>
      </c>
      <c r="M12" s="21">
        <f t="shared" si="2"/>
        <v>81000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3" t="str">
        <f t="shared" si="3"/>
        <v>Normal</v>
      </c>
      <c r="AA12" s="13">
        <v>81000</v>
      </c>
      <c r="AB12" s="13" t="str">
        <f>LEFT(Sheet1!$A12, 3)</f>
        <v>O10</v>
      </c>
      <c r="AC12" s="14">
        <f t="shared" si="4"/>
        <v>1</v>
      </c>
      <c r="AD12" s="16" t="str">
        <f>_xlfn.XLOOKUP(F12, Sheet1!$F$4:$F$23,Sheet1!$G$4:$G$23,"", 1)</f>
        <v>Office</v>
      </c>
      <c r="AE12" s="13">
        <f>_xlfn.XLOOKUP(F12, Sheet1!$F$4:$F$23, Sheet1!$L$4:$L$23, "", 1)</f>
        <v>58000</v>
      </c>
      <c r="AF12" s="13" t="str">
        <f t="shared" si="5"/>
        <v>within standard</v>
      </c>
      <c r="AG12" s="13" t="str">
        <f t="shared" si="6"/>
        <v xml:space="preserve"> Corporate </v>
      </c>
      <c r="AH12" s="13" t="str">
        <f t="shared" si="7"/>
        <v>having both</v>
      </c>
      <c r="AI12" s="17" t="str">
        <f t="shared" si="8"/>
        <v xml:space="preserve">having </v>
      </c>
    </row>
    <row r="13" spans="1:58" x14ac:dyDescent="0.2">
      <c r="A13" s="19" t="s">
        <v>66</v>
      </c>
      <c r="B13" s="20">
        <v>46055</v>
      </c>
      <c r="C13" s="20" t="str">
        <f t="shared" si="0"/>
        <v>Feb-2026</v>
      </c>
      <c r="D13" s="21" t="s">
        <v>37</v>
      </c>
      <c r="E13" s="21" t="s">
        <v>59</v>
      </c>
      <c r="F13" s="21" t="s">
        <v>55</v>
      </c>
      <c r="G13" s="21" t="s">
        <v>42</v>
      </c>
      <c r="H13" s="21">
        <v>25</v>
      </c>
      <c r="I13" s="21">
        <v>850</v>
      </c>
      <c r="J13" s="21">
        <v>0.05</v>
      </c>
      <c r="K13" s="22" t="s">
        <v>46</v>
      </c>
      <c r="L13" s="21">
        <f t="shared" si="1"/>
        <v>21250</v>
      </c>
      <c r="M13" s="21">
        <f t="shared" si="2"/>
        <v>20187.5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3" t="str">
        <f t="shared" si="3"/>
        <v>Normal</v>
      </c>
      <c r="AA13" s="13">
        <v>20188</v>
      </c>
      <c r="AB13" s="13" t="str">
        <f>LEFT(Sheet1!$A13, 3)</f>
        <v>O10</v>
      </c>
      <c r="AC13" s="14">
        <f t="shared" si="4"/>
        <v>2</v>
      </c>
      <c r="AD13" s="16" t="str">
        <f>_xlfn.XLOOKUP(F13, Sheet1!$F$4:$F$23,Sheet1!$G$4:$G$23,"", 1)</f>
        <v>Accessories</v>
      </c>
      <c r="AE13" s="13">
        <f>_xlfn.XLOOKUP(F13, Sheet1!$F$4:$F$23, Sheet1!$L$4:$L$23, "", 1)</f>
        <v>18000</v>
      </c>
      <c r="AF13" s="13" t="str">
        <f t="shared" si="5"/>
        <v>within standard</v>
      </c>
      <c r="AG13" s="13" t="str">
        <f t="shared" si="6"/>
        <v>Retail</v>
      </c>
      <c r="AH13" s="13" t="str">
        <f t="shared" si="7"/>
        <v>not having</v>
      </c>
      <c r="AI13" s="17" t="str">
        <f t="shared" si="8"/>
        <v>not having</v>
      </c>
    </row>
    <row r="14" spans="1:58" x14ac:dyDescent="0.2">
      <c r="A14" s="19" t="s">
        <v>67</v>
      </c>
      <c r="B14" s="20">
        <v>46058</v>
      </c>
      <c r="C14" s="20" t="str">
        <f t="shared" si="0"/>
        <v>Feb-2026</v>
      </c>
      <c r="D14" s="21" t="s">
        <v>36</v>
      </c>
      <c r="E14" s="21" t="s">
        <v>51</v>
      </c>
      <c r="F14" s="21" t="s">
        <v>44</v>
      </c>
      <c r="G14" s="21" t="s">
        <v>45</v>
      </c>
      <c r="H14" s="21">
        <v>4</v>
      </c>
      <c r="I14" s="21">
        <v>54500</v>
      </c>
      <c r="J14" s="21">
        <v>0</v>
      </c>
      <c r="K14" s="22" t="s">
        <v>40</v>
      </c>
      <c r="L14" s="21">
        <f t="shared" si="1"/>
        <v>218000</v>
      </c>
      <c r="M14" s="21">
        <f t="shared" si="2"/>
        <v>218000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3" t="str">
        <f t="shared" si="3"/>
        <v>High</v>
      </c>
      <c r="AA14" s="13">
        <v>218000</v>
      </c>
      <c r="AB14" s="13" t="str">
        <f>LEFT(Sheet1!$A14, 3)</f>
        <v>O10</v>
      </c>
      <c r="AC14" s="14">
        <f t="shared" si="4"/>
        <v>2</v>
      </c>
      <c r="AD14" s="16" t="str">
        <f>_xlfn.XLOOKUP(F14, Sheet1!$F$4:$F$23,Sheet1!$G$4:$G$23,"", 1)</f>
        <v>Electronics</v>
      </c>
      <c r="AE14" s="13">
        <f>_xlfn.XLOOKUP(F14, Sheet1!$F$4:$F$23, Sheet1!$L$4:$L$23, "", 1)</f>
        <v>165000</v>
      </c>
      <c r="AF14" s="13" t="str">
        <f t="shared" si="5"/>
        <v>within standard</v>
      </c>
      <c r="AG14" s="13" t="str">
        <f t="shared" si="6"/>
        <v xml:space="preserve"> Corporate </v>
      </c>
      <c r="AH14" s="13" t="str">
        <f t="shared" si="7"/>
        <v>not having</v>
      </c>
      <c r="AI14" s="17" t="str">
        <f t="shared" si="8"/>
        <v xml:space="preserve">having </v>
      </c>
    </row>
    <row r="15" spans="1:58" x14ac:dyDescent="0.2">
      <c r="A15" s="19" t="s">
        <v>68</v>
      </c>
      <c r="B15" s="20">
        <v>46062</v>
      </c>
      <c r="C15" s="20" t="str">
        <f t="shared" si="0"/>
        <v>Feb-2026</v>
      </c>
      <c r="D15" s="21" t="s">
        <v>33</v>
      </c>
      <c r="E15" s="21" t="s">
        <v>56</v>
      </c>
      <c r="F15" s="21" t="s">
        <v>50</v>
      </c>
      <c r="G15" s="21" t="s">
        <v>45</v>
      </c>
      <c r="H15" s="21">
        <v>8</v>
      </c>
      <c r="I15" s="21">
        <v>182000</v>
      </c>
      <c r="J15" s="21">
        <v>0.08</v>
      </c>
      <c r="K15" s="22" t="s">
        <v>46</v>
      </c>
      <c r="L15" s="21">
        <f t="shared" si="1"/>
        <v>1456000</v>
      </c>
      <c r="M15" s="21">
        <f t="shared" si="2"/>
        <v>1339520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3" t="str">
        <f t="shared" si="3"/>
        <v>High</v>
      </c>
      <c r="AA15" s="13">
        <v>1339520</v>
      </c>
      <c r="AB15" s="13" t="str">
        <f>LEFT(Sheet1!$A15, 3)</f>
        <v>O10</v>
      </c>
      <c r="AC15" s="14">
        <f t="shared" si="4"/>
        <v>2</v>
      </c>
      <c r="AD15" s="16" t="str">
        <f>_xlfn.XLOOKUP(F15, Sheet1!$F$4:$F$23,Sheet1!$G$4:$G$23,"", 1)</f>
        <v>Electronics</v>
      </c>
      <c r="AE15" s="13">
        <f>_xlfn.XLOOKUP(F15, Sheet1!$F$4:$F$23, Sheet1!$L$4:$L$23, "", 1)</f>
        <v>90000</v>
      </c>
      <c r="AF15" s="13" t="str">
        <f t="shared" si="5"/>
        <v>within standard</v>
      </c>
      <c r="AG15" s="13" t="str">
        <f t="shared" si="6"/>
        <v>Retail</v>
      </c>
      <c r="AH15" s="13" t="str">
        <f t="shared" si="7"/>
        <v>not having</v>
      </c>
      <c r="AI15" s="17" t="str">
        <f t="shared" si="8"/>
        <v>not having</v>
      </c>
    </row>
    <row r="16" spans="1:58" x14ac:dyDescent="0.2">
      <c r="A16" s="19" t="s">
        <v>69</v>
      </c>
      <c r="B16" s="20">
        <v>46066</v>
      </c>
      <c r="C16" s="20" t="str">
        <f t="shared" si="0"/>
        <v>Feb-2026</v>
      </c>
      <c r="D16" s="21" t="s">
        <v>35</v>
      </c>
      <c r="E16" s="21" t="s">
        <v>61</v>
      </c>
      <c r="F16" s="21" t="s">
        <v>34</v>
      </c>
      <c r="G16" s="21" t="s">
        <v>42</v>
      </c>
      <c r="H16" s="21">
        <v>10</v>
      </c>
      <c r="I16" s="21">
        <v>2300</v>
      </c>
      <c r="J16" s="21">
        <v>0.05</v>
      </c>
      <c r="K16" s="22" t="s">
        <v>46</v>
      </c>
      <c r="L16" s="21">
        <f t="shared" si="1"/>
        <v>23000</v>
      </c>
      <c r="M16" s="21">
        <f t="shared" si="2"/>
        <v>21850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3" t="str">
        <f t="shared" si="3"/>
        <v>Normal</v>
      </c>
      <c r="AA16" s="13">
        <v>21850</v>
      </c>
      <c r="AB16" s="13" t="str">
        <f>LEFT(Sheet1!$A16, 3)</f>
        <v>O10</v>
      </c>
      <c r="AC16" s="14">
        <f t="shared" si="4"/>
        <v>2</v>
      </c>
      <c r="AD16" s="16" t="str">
        <f>_xlfn.XLOOKUP(F16, Sheet1!$F$4:$F$23,Sheet1!$G$4:$G$23,"", 1)</f>
        <v>Accessories</v>
      </c>
      <c r="AE16" s="13">
        <f>_xlfn.XLOOKUP(F16, Sheet1!$F$4:$F$23, Sheet1!$L$4:$L$23, "", 1)</f>
        <v>26400</v>
      </c>
      <c r="AF16" s="13" t="str">
        <f t="shared" si="5"/>
        <v>within standard</v>
      </c>
      <c r="AG16" s="13" t="str">
        <f t="shared" si="6"/>
        <v>Retail</v>
      </c>
      <c r="AH16" s="13" t="str">
        <f t="shared" si="7"/>
        <v>not having</v>
      </c>
      <c r="AI16" s="17" t="str">
        <f t="shared" si="8"/>
        <v xml:space="preserve">having </v>
      </c>
    </row>
    <row r="17" spans="1:54" x14ac:dyDescent="0.2">
      <c r="A17" s="19" t="s">
        <v>70</v>
      </c>
      <c r="B17" s="20">
        <v>46070</v>
      </c>
      <c r="C17" s="20" t="str">
        <f t="shared" si="0"/>
        <v>Feb-2026</v>
      </c>
      <c r="D17" s="21" t="s">
        <v>37</v>
      </c>
      <c r="E17" s="21" t="s">
        <v>59</v>
      </c>
      <c r="F17" s="21" t="s">
        <v>58</v>
      </c>
      <c r="G17" s="21" t="s">
        <v>53</v>
      </c>
      <c r="H17" s="21">
        <v>5</v>
      </c>
      <c r="I17" s="21">
        <v>148000</v>
      </c>
      <c r="J17" s="21">
        <v>0</v>
      </c>
      <c r="K17" s="22" t="s">
        <v>40</v>
      </c>
      <c r="L17" s="21">
        <f t="shared" si="1"/>
        <v>740000</v>
      </c>
      <c r="M17" s="21">
        <f t="shared" si="2"/>
        <v>740000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3" t="str">
        <f t="shared" si="3"/>
        <v>High</v>
      </c>
      <c r="AA17" s="13">
        <v>740000</v>
      </c>
      <c r="AB17" s="13" t="str">
        <f>LEFT(Sheet1!$A17, 3)</f>
        <v>O10</v>
      </c>
      <c r="AC17" s="14">
        <f t="shared" si="4"/>
        <v>2</v>
      </c>
      <c r="AD17" s="16" t="str">
        <f>_xlfn.XLOOKUP(F17, Sheet1!$F$4:$F$23,Sheet1!$G$4:$G$23,"", 1)</f>
        <v>Office</v>
      </c>
      <c r="AE17" s="13">
        <f>_xlfn.XLOOKUP(F17, Sheet1!$F$4:$F$23, Sheet1!$L$4:$L$23, "", 1)</f>
        <v>58000</v>
      </c>
      <c r="AF17" s="13" t="str">
        <f t="shared" si="5"/>
        <v>within standard</v>
      </c>
      <c r="AG17" s="13" t="str">
        <f t="shared" si="6"/>
        <v xml:space="preserve"> Corporate </v>
      </c>
      <c r="AH17" s="13" t="str">
        <f t="shared" si="7"/>
        <v>not having</v>
      </c>
      <c r="AI17" s="17" t="str">
        <f t="shared" si="8"/>
        <v>not having</v>
      </c>
    </row>
    <row r="18" spans="1:54" x14ac:dyDescent="0.2">
      <c r="A18" s="19" t="s">
        <v>71</v>
      </c>
      <c r="B18" s="20">
        <v>46074</v>
      </c>
      <c r="C18" s="20" t="str">
        <f t="shared" si="0"/>
        <v>Feb-2026</v>
      </c>
      <c r="D18" s="21" t="s">
        <v>36</v>
      </c>
      <c r="E18" s="21" t="s">
        <v>51</v>
      </c>
      <c r="F18" s="21" t="s">
        <v>55</v>
      </c>
      <c r="G18" s="21" t="s">
        <v>42</v>
      </c>
      <c r="H18" s="21">
        <v>18</v>
      </c>
      <c r="I18" s="21">
        <v>880</v>
      </c>
      <c r="J18" s="21">
        <v>0.1</v>
      </c>
      <c r="K18" s="22" t="s">
        <v>46</v>
      </c>
      <c r="L18" s="21">
        <f t="shared" si="1"/>
        <v>15840</v>
      </c>
      <c r="M18" s="21">
        <f t="shared" si="2"/>
        <v>14256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3" t="str">
        <f t="shared" si="3"/>
        <v>Normal</v>
      </c>
      <c r="AA18" s="13">
        <v>14256</v>
      </c>
      <c r="AB18" s="13" t="str">
        <f>LEFT(Sheet1!$A18, 3)</f>
        <v>O10</v>
      </c>
      <c r="AC18" s="14">
        <f t="shared" si="4"/>
        <v>2</v>
      </c>
      <c r="AD18" s="16" t="str">
        <f>_xlfn.XLOOKUP(F18, Sheet1!$F$4:$F$23,Sheet1!$G$4:$G$23,"", 1)</f>
        <v>Accessories</v>
      </c>
      <c r="AE18" s="13">
        <f>_xlfn.XLOOKUP(F18, Sheet1!$F$4:$F$23, Sheet1!$L$4:$L$23, "", 1)</f>
        <v>18000</v>
      </c>
      <c r="AF18" s="13" t="str">
        <f t="shared" si="5"/>
        <v>within standard</v>
      </c>
      <c r="AG18" s="13" t="str">
        <f t="shared" si="6"/>
        <v>Retail</v>
      </c>
      <c r="AH18" s="13" t="str">
        <f t="shared" si="7"/>
        <v>not having</v>
      </c>
      <c r="AI18" s="17" t="str">
        <f t="shared" si="8"/>
        <v xml:space="preserve">having </v>
      </c>
    </row>
    <row r="19" spans="1:54" x14ac:dyDescent="0.2">
      <c r="A19" s="19" t="s">
        <v>72</v>
      </c>
      <c r="B19" s="20">
        <v>46078</v>
      </c>
      <c r="C19" s="20" t="str">
        <f t="shared" si="0"/>
        <v>Feb-2026</v>
      </c>
      <c r="D19" s="21" t="s">
        <v>33</v>
      </c>
      <c r="E19" s="21" t="s">
        <v>56</v>
      </c>
      <c r="F19" s="21" t="s">
        <v>44</v>
      </c>
      <c r="G19" s="21" t="s">
        <v>45</v>
      </c>
      <c r="H19" s="21">
        <v>3</v>
      </c>
      <c r="I19" s="21">
        <v>570000</v>
      </c>
      <c r="J19" s="21">
        <v>0.05</v>
      </c>
      <c r="K19" s="22" t="s">
        <v>40</v>
      </c>
      <c r="L19" s="21">
        <f t="shared" si="1"/>
        <v>1710000</v>
      </c>
      <c r="M19" s="21">
        <f t="shared" si="2"/>
        <v>1624500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3" t="str">
        <f t="shared" si="3"/>
        <v>High</v>
      </c>
      <c r="AA19" s="13">
        <v>1624500</v>
      </c>
      <c r="AB19" s="13" t="str">
        <f>LEFT(Sheet1!$A19, 3)</f>
        <v>O10</v>
      </c>
      <c r="AC19" s="14">
        <f t="shared" si="4"/>
        <v>2</v>
      </c>
      <c r="AD19" s="16" t="str">
        <f>_xlfn.XLOOKUP(F19, Sheet1!$F$4:$F$23,Sheet1!$G$4:$G$23,"", 1)</f>
        <v>Electronics</v>
      </c>
      <c r="AE19" s="13">
        <f>_xlfn.XLOOKUP(F19, Sheet1!$F$4:$F$23, Sheet1!$L$4:$L$23, "", 1)</f>
        <v>165000</v>
      </c>
      <c r="AF19" s="13" t="str">
        <f t="shared" si="5"/>
        <v>within standard</v>
      </c>
      <c r="AG19" s="13" t="str">
        <f t="shared" si="6"/>
        <v xml:space="preserve"> Corporate </v>
      </c>
      <c r="AH19" s="13" t="str">
        <f t="shared" si="7"/>
        <v>not having</v>
      </c>
      <c r="AI19" s="17" t="str">
        <f t="shared" si="8"/>
        <v>not having</v>
      </c>
    </row>
    <row r="20" spans="1:54" x14ac:dyDescent="0.2">
      <c r="A20" s="19" t="s">
        <v>73</v>
      </c>
      <c r="B20" s="20">
        <v>46084</v>
      </c>
      <c r="C20" s="20" t="str">
        <f t="shared" si="0"/>
        <v>Mar-2026</v>
      </c>
      <c r="D20" s="21" t="s">
        <v>35</v>
      </c>
      <c r="E20" s="21" t="s">
        <v>39</v>
      </c>
      <c r="F20" s="21" t="s">
        <v>50</v>
      </c>
      <c r="G20" s="21" t="s">
        <v>45</v>
      </c>
      <c r="H20" s="21">
        <v>6</v>
      </c>
      <c r="I20" s="21">
        <v>17900</v>
      </c>
      <c r="J20" s="21">
        <v>0</v>
      </c>
      <c r="K20" s="22" t="s">
        <v>46</v>
      </c>
      <c r="L20" s="21">
        <f t="shared" si="1"/>
        <v>107400</v>
      </c>
      <c r="M20" s="21">
        <f t="shared" si="2"/>
        <v>107400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 t="str">
        <f t="shared" si="3"/>
        <v>High</v>
      </c>
      <c r="AA20" s="13">
        <v>107400</v>
      </c>
      <c r="AB20" s="13" t="str">
        <f>LEFT(Sheet1!$A20, 3)</f>
        <v>O10</v>
      </c>
      <c r="AC20" s="14">
        <f t="shared" si="4"/>
        <v>3</v>
      </c>
      <c r="AD20" s="16" t="str">
        <f>_xlfn.XLOOKUP(F20, Sheet1!$F$4:$F$23,Sheet1!$G$4:$G$23,"", 1)</f>
        <v>Electronics</v>
      </c>
      <c r="AE20" s="13">
        <f>_xlfn.XLOOKUP(F20, Sheet1!$F$4:$F$23, Sheet1!$L$4:$L$23, "", 1)</f>
        <v>90000</v>
      </c>
      <c r="AF20" s="13" t="str">
        <f t="shared" si="5"/>
        <v>within standard</v>
      </c>
      <c r="AG20" s="13" t="str">
        <f t="shared" si="6"/>
        <v>Retail</v>
      </c>
      <c r="AH20" s="13" t="str">
        <f t="shared" si="7"/>
        <v>not having</v>
      </c>
      <c r="AI20" s="17" t="str">
        <f t="shared" si="8"/>
        <v xml:space="preserve">having </v>
      </c>
    </row>
    <row r="21" spans="1:54" x14ac:dyDescent="0.2">
      <c r="A21" s="19" t="s">
        <v>74</v>
      </c>
      <c r="B21" s="20">
        <v>46089</v>
      </c>
      <c r="C21" s="20" t="str">
        <f t="shared" si="0"/>
        <v>Mar-2026</v>
      </c>
      <c r="D21" s="21" t="s">
        <v>37</v>
      </c>
      <c r="E21" s="21" t="s">
        <v>59</v>
      </c>
      <c r="F21" s="21" t="s">
        <v>34</v>
      </c>
      <c r="G21" s="21" t="s">
        <v>42</v>
      </c>
      <c r="H21" s="21">
        <v>14</v>
      </c>
      <c r="I21" s="21">
        <v>2250</v>
      </c>
      <c r="J21" s="21">
        <v>0.08</v>
      </c>
      <c r="K21" s="22" t="s">
        <v>46</v>
      </c>
      <c r="L21" s="21">
        <f t="shared" si="1"/>
        <v>31500</v>
      </c>
      <c r="M21" s="21">
        <f t="shared" si="2"/>
        <v>28980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 t="str">
        <f t="shared" si="3"/>
        <v>Normal</v>
      </c>
      <c r="AA21" s="13">
        <v>28980</v>
      </c>
      <c r="AB21" s="13" t="str">
        <f>LEFT(Sheet1!$A21, 3)</f>
        <v>O10</v>
      </c>
      <c r="AC21" s="14">
        <f t="shared" si="4"/>
        <v>3</v>
      </c>
      <c r="AD21" s="16" t="str">
        <f>_xlfn.XLOOKUP(F21, Sheet1!$F$4:$F$23,Sheet1!$G$4:$G$23,"", 1)</f>
        <v>Accessories</v>
      </c>
      <c r="AE21" s="13">
        <f>_xlfn.XLOOKUP(F21, Sheet1!$F$4:$F$23, Sheet1!$L$4:$L$23, "", 1)</f>
        <v>26400</v>
      </c>
      <c r="AF21" s="13" t="str">
        <f t="shared" si="5"/>
        <v>within standard</v>
      </c>
      <c r="AG21" s="13" t="str">
        <f t="shared" si="6"/>
        <v>Retail</v>
      </c>
      <c r="AH21" s="13" t="str">
        <f t="shared" si="7"/>
        <v>not having</v>
      </c>
      <c r="AI21" s="17" t="str">
        <f t="shared" si="8"/>
        <v>not having</v>
      </c>
      <c r="BA21" s="47" t="s">
        <v>8</v>
      </c>
      <c r="BB21" s="47"/>
    </row>
    <row r="22" spans="1:54" x14ac:dyDescent="0.2">
      <c r="A22" s="19" t="s">
        <v>75</v>
      </c>
      <c r="B22" s="20">
        <v>46095</v>
      </c>
      <c r="C22" s="20" t="str">
        <f t="shared" si="0"/>
        <v>Mar-2026</v>
      </c>
      <c r="D22" s="21" t="s">
        <v>36</v>
      </c>
      <c r="E22" s="21" t="s">
        <v>51</v>
      </c>
      <c r="F22" s="21" t="s">
        <v>58</v>
      </c>
      <c r="G22" s="21" t="s">
        <v>53</v>
      </c>
      <c r="H22" s="21">
        <v>7</v>
      </c>
      <c r="I22" s="21">
        <v>146000</v>
      </c>
      <c r="J22" s="21">
        <v>0.05</v>
      </c>
      <c r="K22" s="22" t="s">
        <v>40</v>
      </c>
      <c r="L22" s="21">
        <f t="shared" si="1"/>
        <v>1022000</v>
      </c>
      <c r="M22" s="21">
        <f t="shared" si="2"/>
        <v>970900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 t="str">
        <f t="shared" si="3"/>
        <v>High</v>
      </c>
      <c r="AA22" s="13">
        <v>970900</v>
      </c>
      <c r="AB22" s="13" t="str">
        <f>LEFT(Sheet1!$A22, 3)</f>
        <v>O10</v>
      </c>
      <c r="AC22" s="14">
        <f t="shared" si="4"/>
        <v>3</v>
      </c>
      <c r="AD22" s="16" t="str">
        <f>_xlfn.XLOOKUP(F22, Sheet1!$F$4:$F$23,Sheet1!$G$4:$G$23,"", 1)</f>
        <v>Office</v>
      </c>
      <c r="AE22" s="13">
        <f>_xlfn.XLOOKUP(F22, Sheet1!$F$4:$F$23, Sheet1!$L$4:$L$23, "", 1)</f>
        <v>58000</v>
      </c>
      <c r="AF22" s="13" t="str">
        <f t="shared" si="5"/>
        <v>within standard</v>
      </c>
      <c r="AG22" s="13" t="str">
        <f t="shared" si="6"/>
        <v xml:space="preserve"> Corporate </v>
      </c>
      <c r="AH22" s="13" t="str">
        <f t="shared" si="7"/>
        <v>not having</v>
      </c>
      <c r="AI22" s="17" t="str">
        <f t="shared" si="8"/>
        <v xml:space="preserve">having </v>
      </c>
    </row>
    <row r="23" spans="1:54" ht="15.75" thickBot="1" x14ac:dyDescent="0.25">
      <c r="A23" s="25" t="s">
        <v>76</v>
      </c>
      <c r="B23" s="26">
        <v>46100</v>
      </c>
      <c r="C23" s="26" t="str">
        <f t="shared" si="0"/>
        <v>Mar-2026</v>
      </c>
      <c r="D23" s="27" t="s">
        <v>33</v>
      </c>
      <c r="E23" s="27" t="s">
        <v>56</v>
      </c>
      <c r="F23" s="27" t="s">
        <v>55</v>
      </c>
      <c r="G23" s="27" t="s">
        <v>42</v>
      </c>
      <c r="H23" s="27">
        <v>22</v>
      </c>
      <c r="I23" s="27">
        <v>920</v>
      </c>
      <c r="J23" s="27">
        <v>0</v>
      </c>
      <c r="K23" s="28" t="s">
        <v>46</v>
      </c>
      <c r="L23" s="27">
        <f t="shared" si="1"/>
        <v>20240</v>
      </c>
      <c r="M23" s="27">
        <f t="shared" si="2"/>
        <v>20240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 t="str">
        <f t="shared" si="3"/>
        <v>Normal</v>
      </c>
      <c r="AA23" s="13">
        <v>20240</v>
      </c>
      <c r="AB23" s="13" t="str">
        <f>LEFT(Sheet1!$A23, 3)</f>
        <v>O10</v>
      </c>
      <c r="AC23" s="14">
        <f t="shared" si="4"/>
        <v>3</v>
      </c>
      <c r="AD23" s="29" t="str">
        <f>_xlfn.XLOOKUP(F23, Sheet1!$F$4:$F$23,Sheet1!$G$4:$G$23,"", 1)</f>
        <v>Accessories</v>
      </c>
      <c r="AE23" s="30">
        <f>_xlfn.XLOOKUP(F23, Sheet1!$F$4:$F$23, Sheet1!$L$4:$L$23, "", 1)</f>
        <v>18000</v>
      </c>
      <c r="AF23" s="30" t="str">
        <f t="shared" si="5"/>
        <v>within standard</v>
      </c>
      <c r="AG23" s="30" t="str">
        <f t="shared" si="6"/>
        <v>Retail</v>
      </c>
      <c r="AH23" s="30" t="str">
        <f t="shared" si="7"/>
        <v>not having</v>
      </c>
      <c r="AI23" s="31" t="str">
        <f t="shared" si="8"/>
        <v>not having</v>
      </c>
    </row>
    <row r="31" spans="1:54" x14ac:dyDescent="0.2">
      <c r="E31" t="s">
        <v>77</v>
      </c>
    </row>
    <row r="33" spans="5:7" x14ac:dyDescent="0.2">
      <c r="E33" s="32"/>
      <c r="F33" s="32"/>
      <c r="G33" s="32"/>
    </row>
    <row r="34" spans="5:7" x14ac:dyDescent="0.2">
      <c r="E34" s="32"/>
      <c r="F34" s="32"/>
      <c r="G34" s="32"/>
    </row>
    <row r="35" spans="5:7" x14ac:dyDescent="0.2">
      <c r="E35" s="32"/>
      <c r="F35" s="32"/>
      <c r="G35" s="32"/>
    </row>
  </sheetData>
  <mergeCells count="16">
    <mergeCell ref="BD1:BE1"/>
    <mergeCell ref="AJ1:AK1"/>
    <mergeCell ref="AL1:AM1"/>
    <mergeCell ref="AN1:AS1"/>
    <mergeCell ref="AT1:AU1"/>
    <mergeCell ref="AV1:AW1"/>
    <mergeCell ref="BA21:BB21"/>
    <mergeCell ref="A1:K2"/>
    <mergeCell ref="L1:AC1"/>
    <mergeCell ref="AD1:AI1"/>
    <mergeCell ref="O2:P2"/>
    <mergeCell ref="R2:S2"/>
    <mergeCell ref="T2:U2"/>
    <mergeCell ref="AX1:AY1"/>
    <mergeCell ref="AZ1:BA1"/>
    <mergeCell ref="BB1:BC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dc:description/>
  <cp:lastModifiedBy>X</cp:lastModifiedBy>
  <dcterms:created xsi:type="dcterms:W3CDTF">2026-09-08T08:44:31Z</dcterms:created>
  <dcterms:modified xsi:type="dcterms:W3CDTF">2026-09-10T15:33:51Z</dcterms:modified>
</cp:coreProperties>
</file>